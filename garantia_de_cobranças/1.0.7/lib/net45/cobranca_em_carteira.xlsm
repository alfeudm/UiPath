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feu_souza\Documents\UiPath\Garantia_de_Cobranças\"/>
    </mc:Choice>
  </mc:AlternateContent>
  <xr:revisionPtr revIDLastSave="0" documentId="13_ncr:1_{46BC1DD9-7A0D-4AB6-B325-C36CF588A87D}" xr6:coauthVersionLast="47" xr6:coauthVersionMax="47" xr10:uidLastSave="{00000000-0000-0000-0000-000000000000}"/>
  <bookViews>
    <workbookView xWindow="-110" yWindow="-110" windowWidth="19420" windowHeight="10420" tabRatio="788" activeTab="4" xr2:uid="{942E59CD-B6FF-4893-830E-575DFE6C1C12}"/>
  </bookViews>
  <sheets>
    <sheet name="Início" sheetId="2" r:id="rId1"/>
    <sheet name="Título" sheetId="5" r:id="rId2"/>
    <sheet name="Carteira" sheetId="1" r:id="rId3"/>
    <sheet name="Liquidação" sheetId="7" r:id="rId4"/>
    <sheet name="Transferencia" sheetId="3" r:id="rId5"/>
    <sheet name="Emails" sheetId="10" r:id="rId6"/>
    <sheet name="Planilha2" sheetId="12" r:id="rId7"/>
  </sheets>
  <definedNames>
    <definedName name="_xlnm._FilterDatabase" localSheetId="0" hidden="1">Início!$C$1:$S$38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10" l="1"/>
  <c r="A33" i="3"/>
  <c r="B33" i="3"/>
  <c r="C33" i="3"/>
  <c r="A33" i="7"/>
  <c r="B33" i="7"/>
  <c r="A34" i="1"/>
  <c r="B34" i="1"/>
  <c r="C34" i="1"/>
  <c r="A39" i="5"/>
  <c r="O42" i="2"/>
  <c r="N42" i="2"/>
  <c r="L42" i="2"/>
  <c r="M42" i="2" s="1"/>
  <c r="P42" i="2" s="1"/>
  <c r="A32" i="10"/>
  <c r="L41" i="2"/>
  <c r="M41" i="2" s="1"/>
  <c r="P41" i="2" s="1"/>
  <c r="A32" i="3"/>
  <c r="B32" i="3"/>
  <c r="C32" i="3"/>
  <c r="A32" i="7"/>
  <c r="B32" i="7"/>
  <c r="O41" i="2" s="1"/>
  <c r="A33" i="1"/>
  <c r="B33" i="1"/>
  <c r="C33" i="1"/>
  <c r="N41" i="2" s="1"/>
  <c r="A38" i="5"/>
  <c r="Q27" i="2"/>
  <c r="Q19" i="2"/>
  <c r="Q18" i="2"/>
  <c r="Q15" i="2"/>
  <c r="Q14" i="2"/>
  <c r="Q7" i="2"/>
  <c r="Q5" i="2"/>
  <c r="O40" i="2"/>
  <c r="O39" i="2"/>
  <c r="O38" i="2"/>
  <c r="Q38" i="2" s="1"/>
  <c r="O37" i="2"/>
  <c r="Q37" i="2" s="1"/>
  <c r="O36" i="2"/>
  <c r="O35" i="2"/>
  <c r="O34" i="2"/>
  <c r="O33" i="2"/>
  <c r="O32" i="2"/>
  <c r="O31" i="2"/>
  <c r="O30" i="2"/>
  <c r="O29" i="2"/>
  <c r="O28" i="2"/>
  <c r="O26" i="2"/>
  <c r="O25" i="2"/>
  <c r="O24" i="2"/>
  <c r="O22" i="2"/>
  <c r="O21" i="2"/>
  <c r="O20" i="2"/>
  <c r="O17" i="2"/>
  <c r="O16" i="2"/>
  <c r="O13" i="2"/>
  <c r="O11" i="2"/>
  <c r="O10" i="2"/>
  <c r="O9" i="2"/>
  <c r="O8" i="2"/>
  <c r="O6" i="2"/>
  <c r="O4" i="2"/>
  <c r="O3" i="2"/>
  <c r="O2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6" i="2"/>
  <c r="N25" i="2"/>
  <c r="N24" i="2"/>
  <c r="N23" i="2"/>
  <c r="Q23" i="2" s="1"/>
  <c r="N22" i="2"/>
  <c r="N21" i="2"/>
  <c r="N20" i="2"/>
  <c r="N17" i="2"/>
  <c r="N16" i="2"/>
  <c r="N13" i="2"/>
  <c r="N12" i="2"/>
  <c r="Q12" i="2" s="1"/>
  <c r="N11" i="2"/>
  <c r="N10" i="2"/>
  <c r="N9" i="2"/>
  <c r="N8" i="2"/>
  <c r="N6" i="2"/>
  <c r="N4" i="2"/>
  <c r="N3" i="2"/>
  <c r="Q42" i="2" l="1"/>
  <c r="Q41" i="2"/>
  <c r="S41" i="2" s="1"/>
  <c r="Q9" i="2"/>
  <c r="L40" i="2"/>
  <c r="M40" i="2" s="1"/>
  <c r="P40" i="2" s="1"/>
  <c r="Q40" i="2" s="1"/>
  <c r="L39" i="2"/>
  <c r="M39" i="2" s="1"/>
  <c r="P39" i="2" s="1"/>
  <c r="Q39" i="2" s="1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2" i="2"/>
  <c r="L21" i="2"/>
  <c r="L20" i="2"/>
  <c r="L19" i="2"/>
  <c r="L18" i="2"/>
  <c r="L17" i="2"/>
  <c r="L16" i="2"/>
  <c r="L15" i="2"/>
  <c r="L14" i="2"/>
  <c r="L13" i="2"/>
  <c r="L11" i="2"/>
  <c r="L10" i="2"/>
  <c r="M9" i="2"/>
  <c r="P9" i="2" s="1"/>
  <c r="L8" i="2"/>
  <c r="L7" i="2"/>
  <c r="L6" i="2"/>
  <c r="L5" i="2"/>
  <c r="L4" i="2"/>
  <c r="L3" i="2"/>
  <c r="L2" i="2"/>
  <c r="M2" i="2" s="1"/>
  <c r="P2" i="2" s="1"/>
  <c r="Q2" i="2" s="1"/>
  <c r="A31" i="10"/>
  <c r="A30" i="3"/>
  <c r="B30" i="3"/>
  <c r="C30" i="3"/>
  <c r="A31" i="3"/>
  <c r="B31" i="3"/>
  <c r="C31" i="3"/>
  <c r="A30" i="7"/>
  <c r="B30" i="7"/>
  <c r="A31" i="7"/>
  <c r="B31" i="7"/>
  <c r="A31" i="1"/>
  <c r="B31" i="1"/>
  <c r="C31" i="1"/>
  <c r="A32" i="1"/>
  <c r="B32" i="1"/>
  <c r="C32" i="1"/>
  <c r="A36" i="5"/>
  <c r="A37" i="5"/>
  <c r="A30" i="10"/>
  <c r="M4" i="2"/>
  <c r="M5" i="2"/>
  <c r="R5" i="2"/>
  <c r="R7" i="2"/>
  <c r="M10" i="2"/>
  <c r="P10" i="2" s="1"/>
  <c r="Q10" i="2" s="1"/>
  <c r="M11" i="2"/>
  <c r="P11" i="2" s="1"/>
  <c r="Q11" i="2" s="1"/>
  <c r="R14" i="2"/>
  <c r="S15" i="2"/>
  <c r="S18" i="2"/>
  <c r="R19" i="2"/>
  <c r="F21" i="2"/>
  <c r="M22" i="2"/>
  <c r="P22" i="2" s="1"/>
  <c r="Q22" i="2" s="1"/>
  <c r="R27" i="2"/>
  <c r="M28" i="2"/>
  <c r="P28" i="2" s="1"/>
  <c r="Q28" i="2" s="1"/>
  <c r="M35" i="2"/>
  <c r="P35" i="2" s="1"/>
  <c r="Q35" i="2" s="1"/>
  <c r="A2" i="5"/>
  <c r="A3" i="5"/>
  <c r="A4" i="5"/>
  <c r="A5" i="5"/>
  <c r="A6" i="5"/>
  <c r="A7" i="5"/>
  <c r="A8" i="5"/>
  <c r="A9" i="5"/>
  <c r="A10" i="5"/>
  <c r="A11" i="5"/>
  <c r="A12" i="5"/>
  <c r="A13" i="5"/>
  <c r="A14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1" i="3"/>
  <c r="A2" i="3"/>
  <c r="C2" i="3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1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15" i="10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A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1" i="3"/>
  <c r="B1" i="3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A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C30" i="1"/>
  <c r="B30" i="1"/>
  <c r="A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A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  <c r="C2" i="1"/>
  <c r="B2" i="1"/>
  <c r="C1" i="1"/>
  <c r="B1" i="1"/>
  <c r="A35" i="5"/>
  <c r="A34" i="5"/>
  <c r="A33" i="5"/>
  <c r="A32" i="5"/>
  <c r="A31" i="5"/>
  <c r="A30" i="5"/>
  <c r="A15" i="5"/>
  <c r="C1" i="5"/>
  <c r="S42" i="2" l="1"/>
  <c r="F33" i="3"/>
  <c r="R42" i="2"/>
  <c r="F32" i="3"/>
  <c r="R41" i="2"/>
  <c r="S14" i="2"/>
  <c r="S7" i="2"/>
  <c r="R15" i="2"/>
  <c r="S19" i="2"/>
  <c r="F30" i="3"/>
  <c r="R12" i="2"/>
  <c r="S27" i="2"/>
  <c r="R18" i="2"/>
  <c r="S23" i="2"/>
  <c r="P4" i="2"/>
  <c r="Q4" i="2" s="1"/>
  <c r="M8" i="2"/>
  <c r="P8" i="2" s="1"/>
  <c r="Q8" i="2" s="1"/>
  <c r="M3" i="2"/>
  <c r="P3" i="2" s="1"/>
  <c r="Q3" i="2" s="1"/>
  <c r="M18" i="2"/>
  <c r="M17" i="2"/>
  <c r="M16" i="2"/>
  <c r="P16" i="2" s="1"/>
  <c r="Q16" i="2" s="1"/>
  <c r="M27" i="2"/>
  <c r="M26" i="2"/>
  <c r="M25" i="2"/>
  <c r="P25" i="2" s="1"/>
  <c r="Q25" i="2" s="1"/>
  <c r="M24" i="2"/>
  <c r="P24" i="2" s="1"/>
  <c r="Q24" i="2" s="1"/>
  <c r="M14" i="2"/>
  <c r="M13" i="2"/>
  <c r="M7" i="2"/>
  <c r="M6" i="2"/>
  <c r="M19" i="2"/>
  <c r="S5" i="2"/>
  <c r="M37" i="2"/>
  <c r="P37" i="2" s="1"/>
  <c r="M36" i="2"/>
  <c r="P36" i="2" s="1"/>
  <c r="Q36" i="2" s="1"/>
  <c r="M34" i="2"/>
  <c r="P34" i="2" s="1"/>
  <c r="Q34" i="2" s="1"/>
  <c r="M33" i="2"/>
  <c r="P33" i="2" s="1"/>
  <c r="Q33" i="2" s="1"/>
  <c r="M32" i="2"/>
  <c r="P32" i="2" s="1"/>
  <c r="Q32" i="2" s="1"/>
  <c r="M31" i="2"/>
  <c r="P31" i="2" s="1"/>
  <c r="Q31" i="2" s="1"/>
  <c r="M30" i="2"/>
  <c r="P30" i="2" s="1"/>
  <c r="Q30" i="2" s="1"/>
  <c r="M29" i="2"/>
  <c r="P29" i="2" s="1"/>
  <c r="Q29" i="2" s="1"/>
  <c r="S9" i="2"/>
  <c r="M38" i="2"/>
  <c r="P38" i="2" s="1"/>
  <c r="M21" i="2"/>
  <c r="P21" i="2" s="1"/>
  <c r="Q21" i="2" s="1"/>
  <c r="M15" i="2"/>
  <c r="M20" i="2"/>
  <c r="P20" i="2" s="1"/>
  <c r="Q20" i="2" s="1"/>
  <c r="S12" i="2" l="1"/>
  <c r="R23" i="2"/>
  <c r="S39" i="2"/>
  <c r="R39" i="2"/>
  <c r="F28" i="3"/>
  <c r="F29" i="3"/>
  <c r="S40" i="2"/>
  <c r="F31" i="3"/>
  <c r="R40" i="2"/>
  <c r="R37" i="2"/>
  <c r="S4" i="2"/>
  <c r="R38" i="2"/>
  <c r="S35" i="2"/>
  <c r="S28" i="2"/>
  <c r="S10" i="2"/>
  <c r="S33" i="2"/>
  <c r="P26" i="2"/>
  <c r="Q26" i="2" s="1"/>
  <c r="F3" i="3"/>
  <c r="S38" i="2"/>
  <c r="S8" i="2"/>
  <c r="S2" i="2"/>
  <c r="F2" i="3"/>
  <c r="F7" i="3"/>
  <c r="R29" i="2"/>
  <c r="S37" i="2"/>
  <c r="R21" i="2"/>
  <c r="P6" i="2"/>
  <c r="Q6" i="2" s="1"/>
  <c r="R30" i="2"/>
  <c r="F11" i="3"/>
  <c r="S16" i="2"/>
  <c r="R9" i="2"/>
  <c r="R31" i="2"/>
  <c r="R2" i="2"/>
  <c r="R16" i="2"/>
  <c r="R11" i="2"/>
  <c r="R32" i="2"/>
  <c r="P17" i="2"/>
  <c r="Q17" i="2" s="1"/>
  <c r="R25" i="2"/>
  <c r="F19" i="3"/>
  <c r="R20" i="2"/>
  <c r="P13" i="2"/>
  <c r="Q13" i="2" s="1"/>
  <c r="R22" i="2"/>
  <c r="R34" i="2"/>
  <c r="R28" i="2" l="1"/>
  <c r="F4" i="3"/>
  <c r="R4" i="2"/>
  <c r="F26" i="3"/>
  <c r="R35" i="2"/>
  <c r="F24" i="3"/>
  <c r="F8" i="3"/>
  <c r="R33" i="2"/>
  <c r="R10" i="2"/>
  <c r="R3" i="2"/>
  <c r="R8" i="2"/>
  <c r="S3" i="2"/>
  <c r="F6" i="3"/>
  <c r="S6" i="2"/>
  <c r="F5" i="3"/>
  <c r="R6" i="2"/>
  <c r="S13" i="2"/>
  <c r="F10" i="3"/>
  <c r="R13" i="2"/>
  <c r="S26" i="2"/>
  <c r="F18" i="3"/>
  <c r="S36" i="2"/>
  <c r="F27" i="3"/>
  <c r="S17" i="2"/>
  <c r="F12" i="3"/>
  <c r="S21" i="2"/>
  <c r="F14" i="3"/>
  <c r="S24" i="2"/>
  <c r="F16" i="3"/>
  <c r="R24" i="2"/>
  <c r="S32" i="2"/>
  <c r="F23" i="3"/>
  <c r="R26" i="2"/>
  <c r="S34" i="2"/>
  <c r="F25" i="3"/>
  <c r="S11" i="2"/>
  <c r="F9" i="3"/>
  <c r="R36" i="2"/>
  <c r="S25" i="2"/>
  <c r="F17" i="3"/>
  <c r="S20" i="2"/>
  <c r="F13" i="3"/>
  <c r="S31" i="2"/>
  <c r="F22" i="3"/>
  <c r="S22" i="2"/>
  <c r="F15" i="3"/>
  <c r="R17" i="2"/>
  <c r="S30" i="2"/>
  <c r="F21" i="3"/>
  <c r="S29" i="2"/>
  <c r="F20" i="3"/>
</calcChain>
</file>

<file path=xl/sharedStrings.xml><?xml version="1.0" encoding="utf-8"?>
<sst xmlns="http://schemas.openxmlformats.org/spreadsheetml/2006/main" count="444" uniqueCount="227">
  <si>
    <t>nn</t>
  </si>
  <si>
    <t>Associado</t>
  </si>
  <si>
    <t>Título</t>
  </si>
  <si>
    <t>Ag</t>
  </si>
  <si>
    <t>Cedente</t>
  </si>
  <si>
    <t>Conta Vinculada</t>
  </si>
  <si>
    <t>Conta Corrente</t>
  </si>
  <si>
    <t>Tipo de operação</t>
  </si>
  <si>
    <t>Valor Operação</t>
  </si>
  <si>
    <t>% deve garantir</t>
  </si>
  <si>
    <t xml:space="preserve">Posição </t>
  </si>
  <si>
    <t>Valor Necessário da garantia</t>
  </si>
  <si>
    <t>Cobrança em carteira</t>
  </si>
  <si>
    <t>Liquidação de cobrança na conta vinculada</t>
  </si>
  <si>
    <t>Valor Necessário em cobrança</t>
  </si>
  <si>
    <t>Valor a transferir para a conta de movimento</t>
  </si>
  <si>
    <t>Falta para compor o percentual de garantia (manter em conta)</t>
  </si>
  <si>
    <t>Falta para compor o percentual de garantia (emitir cob)</t>
  </si>
  <si>
    <t>FRANCK F MULLER SUPERMERCADO EIRELI</t>
  </si>
  <si>
    <t>C02130159-6</t>
  </si>
  <si>
    <t>21</t>
  </si>
  <si>
    <t>17697-6</t>
  </si>
  <si>
    <t>17342-7</t>
  </si>
  <si>
    <t>Parcelado</t>
  </si>
  <si>
    <t>TROPICAL PEIXARIA E PRODUTOS NATURAIS EIRELI</t>
  </si>
  <si>
    <t>C22120313-0</t>
  </si>
  <si>
    <t>06</t>
  </si>
  <si>
    <t>23811</t>
  </si>
  <si>
    <t>76259-3</t>
  </si>
  <si>
    <t>23811-2</t>
  </si>
  <si>
    <t>RAVENA DISTRIBUIDORA DE AUTO PECAS LTDA</t>
  </si>
  <si>
    <t>C12120313-8</t>
  </si>
  <si>
    <t>00229</t>
  </si>
  <si>
    <t>47283-7</t>
  </si>
  <si>
    <t>00866-6</t>
  </si>
  <si>
    <t>Limite</t>
  </si>
  <si>
    <t>C22130207-3</t>
  </si>
  <si>
    <t>R M DOS SANTOS INFORMATICA EIRELI</t>
  </si>
  <si>
    <t>C01231004-9</t>
  </si>
  <si>
    <t>12</t>
  </si>
  <si>
    <t>67674</t>
  </si>
  <si>
    <t>89261-0</t>
  </si>
  <si>
    <t>67674-8</t>
  </si>
  <si>
    <t>C11220394-5</t>
  </si>
  <si>
    <t>ELIANDRO DISTRIBUIDORA DE ALIMENTOS EIRELI</t>
  </si>
  <si>
    <t>C02120059-5</t>
  </si>
  <si>
    <t>10</t>
  </si>
  <si>
    <t>34934</t>
  </si>
  <si>
    <t>13478-4</t>
  </si>
  <si>
    <t>34934-8</t>
  </si>
  <si>
    <t>SPM COUROS LTDA</t>
  </si>
  <si>
    <t>17</t>
  </si>
  <si>
    <t>38973</t>
  </si>
  <si>
    <t>67329-5</t>
  </si>
  <si>
    <t>38973-0</t>
  </si>
  <si>
    <t>DIELAT INDUSTRIA E COMERCIO DE LATICINIOS LTDA</t>
  </si>
  <si>
    <t>C02120107-9</t>
  </si>
  <si>
    <t>03</t>
  </si>
  <si>
    <t>54639</t>
  </si>
  <si>
    <t>83202-2</t>
  </si>
  <si>
    <t>54639-9</t>
  </si>
  <si>
    <t>ROXO E SOUZA COMERCIO ATACADISTA LTDA</t>
  </si>
  <si>
    <t>B82122965-5</t>
  </si>
  <si>
    <t>00242</t>
  </si>
  <si>
    <t>87415-9</t>
  </si>
  <si>
    <t>79861-4</t>
  </si>
  <si>
    <t>79861</t>
  </si>
  <si>
    <t>GIGA NET INFORMATICA LTDA</t>
  </si>
  <si>
    <t>C11931022-4</t>
  </si>
  <si>
    <t>19</t>
  </si>
  <si>
    <t>00089</t>
  </si>
  <si>
    <t>83228-6</t>
  </si>
  <si>
    <t>78169-0</t>
  </si>
  <si>
    <t>C11931701-6</t>
  </si>
  <si>
    <t>C11930825-4</t>
  </si>
  <si>
    <t>ASSOCIACAO DOS AMIGOS DA PRAIA DE TORRES</t>
  </si>
  <si>
    <t>B91223550-9</t>
  </si>
  <si>
    <t>74845</t>
  </si>
  <si>
    <t>05300-9</t>
  </si>
  <si>
    <t>74845-5</t>
  </si>
  <si>
    <t>NETPAL TELECOM LTDA</t>
  </si>
  <si>
    <t>C11130150-1</t>
  </si>
  <si>
    <t>11</t>
  </si>
  <si>
    <t>35525</t>
  </si>
  <si>
    <t>07967-5</t>
  </si>
  <si>
    <t>35525-9</t>
  </si>
  <si>
    <t>C11131454-9</t>
  </si>
  <si>
    <t>B91131372-7</t>
  </si>
  <si>
    <t>ELEOMAR ALCIONE RAMOS CONSTRUCOES</t>
  </si>
  <si>
    <t>C01931494-5</t>
  </si>
  <si>
    <t>94708</t>
  </si>
  <si>
    <t>09771-8</t>
  </si>
  <si>
    <t>94708-3</t>
  </si>
  <si>
    <t>CONDOMINIO RESERVA DAS AGUAS</t>
  </si>
  <si>
    <t>B91224039-1</t>
  </si>
  <si>
    <t>09302-1</t>
  </si>
  <si>
    <t>02604-8</t>
  </si>
  <si>
    <t>LIZANDRA DA SILVA</t>
  </si>
  <si>
    <t>C02120886-0</t>
  </si>
  <si>
    <t>00418</t>
  </si>
  <si>
    <t>19562-9</t>
  </si>
  <si>
    <t>93653-7</t>
  </si>
  <si>
    <t>93653</t>
  </si>
  <si>
    <t>SEVERO E PRADO LTDA</t>
  </si>
  <si>
    <t>C02021095-3</t>
  </si>
  <si>
    <t>14</t>
  </si>
  <si>
    <t>74109</t>
  </si>
  <si>
    <t>16681-0</t>
  </si>
  <si>
    <t>74109-4</t>
  </si>
  <si>
    <t>POWERSERV SOLUCOES INTERNET LTDA</t>
  </si>
  <si>
    <t>C10620886-8</t>
  </si>
  <si>
    <t>47867</t>
  </si>
  <si>
    <t>26983-8</t>
  </si>
  <si>
    <t>47867-9</t>
  </si>
  <si>
    <t>JUVESA VEICULOS LTDA</t>
  </si>
  <si>
    <t>C10530145-7</t>
  </si>
  <si>
    <t>05</t>
  </si>
  <si>
    <t>58191</t>
  </si>
  <si>
    <t>30853-7</t>
  </si>
  <si>
    <t>58191-7</t>
  </si>
  <si>
    <t>C20521358-4</t>
  </si>
  <si>
    <t>ARTESANATO CENTENARIO LTDA</t>
  </si>
  <si>
    <t>C11230224-2</t>
  </si>
  <si>
    <t>94137</t>
  </si>
  <si>
    <t>34678-5</t>
  </si>
  <si>
    <t>94137-9</t>
  </si>
  <si>
    <t>TIAGO ROST NET</t>
  </si>
  <si>
    <t>C11920784-9</t>
  </si>
  <si>
    <t>90890</t>
  </si>
  <si>
    <t>43088-5</t>
  </si>
  <si>
    <t>90890-8</t>
  </si>
  <si>
    <t>AGUIA CONTABILIDADE EIRELI</t>
  </si>
  <si>
    <t>C21230153-1</t>
  </si>
  <si>
    <t>68577</t>
  </si>
  <si>
    <t>66850-1</t>
  </si>
  <si>
    <t>68577-1</t>
  </si>
  <si>
    <t xml:space="preserve">JOVIAL ABRASIVOS FABRICACAO DE ESCOVAS LTDA </t>
  </si>
  <si>
    <t>C21920253-9</t>
  </si>
  <si>
    <t>52519</t>
  </si>
  <si>
    <t>68706-4</t>
  </si>
  <si>
    <t>52519-9</t>
  </si>
  <si>
    <t>EMPRESA DE SEGURANCA PINHAL LTDA</t>
  </si>
  <si>
    <t>C22630167-3</t>
  </si>
  <si>
    <t>18</t>
  </si>
  <si>
    <t>04185</t>
  </si>
  <si>
    <t>69047-1</t>
  </si>
  <si>
    <t>04185-6</t>
  </si>
  <si>
    <t>LUGON IMOVEIS LTDA</t>
  </si>
  <si>
    <t>C21230730-0</t>
  </si>
  <si>
    <t>00273</t>
  </si>
  <si>
    <t>77900-1</t>
  </si>
  <si>
    <t>00273-3</t>
  </si>
  <si>
    <t>STIER BIER INDUSTRIA E COMERCIO DE BEBIDAS LTDA</t>
  </si>
  <si>
    <t>C21731346-5</t>
  </si>
  <si>
    <t>22915</t>
  </si>
  <si>
    <t>89202-7</t>
  </si>
  <si>
    <t>22915-5</t>
  </si>
  <si>
    <t>RUMO CERTO AGROCOMERCIAL LTDA</t>
  </si>
  <si>
    <t xml:space="preserve">C21831014-1 </t>
  </si>
  <si>
    <t>86383</t>
  </si>
  <si>
    <t>94699-9</t>
  </si>
  <si>
    <t>86383-1</t>
  </si>
  <si>
    <t>RUTSATZ COMERCIO E REDE DE ENSINO LTDA</t>
  </si>
  <si>
    <t>C21431390-1</t>
  </si>
  <si>
    <t>78439</t>
  </si>
  <si>
    <t>81562-3</t>
  </si>
  <si>
    <t>78439-7</t>
  </si>
  <si>
    <t>CONDOMINIO RESIDENCIAL BELLVILLE</t>
  </si>
  <si>
    <t>C20531373-2</t>
  </si>
  <si>
    <t>84874</t>
  </si>
  <si>
    <t>85221-1</t>
  </si>
  <si>
    <t>84874-9</t>
  </si>
  <si>
    <t>CONDOMINIO HORIZONTAL MARITIMO</t>
  </si>
  <si>
    <t>C22021963-6</t>
  </si>
  <si>
    <t>20</t>
  </si>
  <si>
    <t>80868</t>
  </si>
  <si>
    <t>88265-6</t>
  </si>
  <si>
    <t>80868-6</t>
  </si>
  <si>
    <t>valor</t>
  </si>
  <si>
    <t>Valor</t>
  </si>
  <si>
    <t>valor a transferir</t>
  </si>
  <si>
    <t>Status Transferencia</t>
  </si>
  <si>
    <t>RESIDENCIAL ANA JULIA</t>
  </si>
  <si>
    <t>C20331540-1</t>
  </si>
  <si>
    <t>89191-2</t>
  </si>
  <si>
    <t>89181-3</t>
  </si>
  <si>
    <t>EVEN TELECOM LTDA</t>
  </si>
  <si>
    <t>C21532880-5</t>
  </si>
  <si>
    <t>98194-5</t>
  </si>
  <si>
    <t>83158-1</t>
  </si>
  <si>
    <t>bruna_schmitt@sicredi.com.br; eduarda_steil@sicredi.com.br; carolina_groth@sicredi.com.br; renan_bonalume@sicredi.com.br</t>
  </si>
  <si>
    <t>gabriela_kurmann@sicredi.com.br; cintia_reolon@sicredi.com.br; amanda_lopes@sicredi.com.br; bruna_schmitt@sicredi.com.br; eduarda_steil@sicredi.com.br; carolina_groth@sicredi.com.br; renan_bonalume@sicredi.com.br</t>
  </si>
  <si>
    <t>ilo_junior@sicredi.com.br; rochele_bittencourt@sicredi.com.br; cintia_reolon@sicredi.com.br; amanda_lopes@sicredi.com.br; bruna_schmitt@sicredi.com.br</t>
  </si>
  <si>
    <t>gelson_martins@sicredi.com.br; cintia_reolon@sicredi.com.br; amanda_lopes@sicredi.com.br; bruna_schmitt@sicredi.com.br</t>
  </si>
  <si>
    <t>elizangela_rupolo@sicredi.com.br; jeferson_nascimento@sicredi.com.br; cintia_reolon@sicredi.com.br; amanda_lopes@sicredi.com.br; bruna_schmitt@sicredi.com.br; roselaine_souza@sicredi.com.br</t>
  </si>
  <si>
    <t>rochele_bittencourt@sicredi.com.br; cintia_reolon@sicredi.com.br; amanda_lopes@sicredi.com.br; bruna_schmitt@sicredi.com.br; eduarda_steil@sicredi.com.br; carolina_groth@sicredi.com.br; renan_bonalume@sicredi.com.br</t>
  </si>
  <si>
    <t>ismael_silva@sicredi.com.br; cintia_reolon@sicredi.com.br; amanda_lopes@sicredi.com.br; bruna_schmitt@sicredi.com.br; eduarda_steil@sicredi.com.br; carolina_groth@sicredi.com.br; renan_bonalume@sicredi.com.br</t>
  </si>
  <si>
    <t>jeferson_nascimento@sicredi.com.br; juliana_menezes@sicredi.com.br; cintia_reolon@sicredi.com.br; amanda_lopes@sicredi.com.br; bruna_schmitt@sicredi.com.br; eduarda_steil@sicredi.com.br; carolina_groth@sicredi.com.br; renan_bonalume@sicredi.com.br</t>
  </si>
  <si>
    <t>jaciara_rodrigues@sicredi.com.br; cintia_reolon@sicredi.com.br; amanda_lopes@sicredi.com.br; bruna_schmitt@sicredi.com.br; eduarda_steil@sicredi.com.br; carolina_groth@sicredi.com.br; renan_bonalume@sicredi.com.br</t>
  </si>
  <si>
    <t>debora_luisa@sicredi.com.br; cintia_reolon@sicredi.com.br; amanda_lopes@sicredi.com.br; bruna_schmitt@sicredi.com.br; eduarda_steil@sicredi.com.br; carolina_groth@sicredi.com.br; renan_bonalume@sicredi.com.br</t>
  </si>
  <si>
    <t>edison_costa@sicredi.com.br; cintia_reolon@sicredi.com.br; amanda_lopes@sicredi.com.br; bruna_schmitt@sicredi.com.br; eduarda_steil@sicredi.com.br; carolina_groth@sicredi.com.br; renan_bonalume@sicredi.com.br; eduarda_steil@sicredi.com.br; carolina_groth@sicredi.com.br; renan_bonalume@sicredi.com.br</t>
  </si>
  <si>
    <t>jeferson_nascimento@sicredi.com.br; cintia_reolon@sicredi.com.br; amanda_lopes@sicredi.com.br</t>
  </si>
  <si>
    <t>jeferson_nascimento@sicredi.com.br; cintia_reolon@sicredi.com.br; amanda_lopes@sicredi.com.br; juliana_menezes@sicredi.com.br</t>
  </si>
  <si>
    <t>gabriela_fraga@sicredi.com.br; cintia_reolon@sicredi.com.br; amanda_lopes@sicredi.com.br; bruna_schmitt@sicredi.com.br; eduarda_steil@sicredi.com.br; carolina_groth@sicredi.com.br; renan_bonalume@sicredi.com.br</t>
  </si>
  <si>
    <t>nascimento_guilherme@sicredi.com.br; cintia_reolon@sicredi.com.br; amanda_lopes@sicredi.com.br; bruna_schmitt@sicredi.com.br; eduarda_steil@sicredi.com.br; carolina_groth@sicredi.com.br; renan_bonalume@sicredi.com.br</t>
  </si>
  <si>
    <t>gabriela_fraga@sicredi.com.br; cintia_reolon@sicredi.com.br; amanda_lopes@sicredi.com.br; bruna_schmitt@sicredi.com.br; eduarda_steil@sicredi.com.br; carolina_groth@sicredi.com.br; renan_bonalume@sicredi.com.br; carolina_groth@sicredi.com.br; eduarda_steil@sicredi.com.br</t>
  </si>
  <si>
    <t>diego_quadros@sicredi.com.br; cintia_reolon@sicredi.com.br; amanda_lopes@sicredi.com.br; bruna_schmitt@sicredi.com.br; eduarda_steil@sicredi.com.br; carolina_groth@sicredi.com.br; renan_bonalume@sicredi.com.br</t>
  </si>
  <si>
    <t>guilherme_criscuoli@sicredi.com.br; cintia_reolon@sicredi.com.br; amanda_lopes@sicredi.com.br; bruna_schmitt@sicredi.com.br; eduarda_steil@sicredi.com.br; carolina_groth@sicredi.com.br; renan_bonalume@sicredi.com.br; carolina_groth@sicredi.com.br; eduarda_steil@sicredi.com.br</t>
  </si>
  <si>
    <t>cintia_reolon@sicredi.com.br; amanda_lopes@sicredi.com.br; bruna_schmitt@sicredi.com.br; eduarda_steil@sicredi.com.br; vitoria_rosa@sicredi.com.br; guilherme_criscuoli@sicredi.com.b</t>
  </si>
  <si>
    <t>cintia_reolon@sicredi.com.br; amanda_lopes@sicredi.com.br; bruna_schmitt@sicredi.com.br; eduarda_steil@sicredi.com.br; juliana_menezes@sicredi.com.br; renan_bonalume@sicredi.com.br</t>
  </si>
  <si>
    <t>delmar_nunes@sicredi.com.brbruna_schmitt@sicredi.com.br; eduarda_steil@sicredi.com.br; carolina_groth@sicredi.com.br; renan_bonalume@sicredi.com.br</t>
  </si>
  <si>
    <t>tatiana_strick@sicredi.com.br; cintia_reolon@sicredi.com.br; amanda_lopes@sicredi.com.br; bruna_schmitt@sicredi.com.br; eduarda_steil@sicredi.com.br; carolina_groth@sicredi.com.br; renan_bonalume@sicredi.com.br</t>
  </si>
  <si>
    <t>SANVITRON CONTROLE E AUTOMACAO EIRELI</t>
  </si>
  <si>
    <t>C21331756-3</t>
  </si>
  <si>
    <t>13</t>
  </si>
  <si>
    <t>00061-7</t>
  </si>
  <si>
    <t>70317</t>
  </si>
  <si>
    <t>70317-6</t>
  </si>
  <si>
    <t>cintia_reolon@sicredi.com.br; amanda_lopes@sicredi.com.br; bruna_schmitt@sicredi.com.br; eduarda_steil@sicredi.com.br;hamilton_santos@sicredi.com.br</t>
  </si>
  <si>
    <t>RCI TELECOMUNICACOES LTD</t>
  </si>
  <si>
    <t>C21331795-4</t>
  </si>
  <si>
    <t>00149-2</t>
  </si>
  <si>
    <t>84902-2</t>
  </si>
  <si>
    <t>84902</t>
  </si>
  <si>
    <t xml:space="preserve"> R$                    159.395,00 </t>
  </si>
  <si>
    <t>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</si>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</sst>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#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none">
        <fgColor theme="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AEAAAA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3" fillId="10" borderId="0"/>
    <xf numFmtId="0" fontId="3" fillId="10" borderId="0"/>
    <xf numFmtId="0" fontId="3" fillId="10" borderId="0"/>
    <xf numFmtId="0" fontId="3" fillId="10" borderId="0"/>
    <xf numFmtId="0" fontId="3" fillId="10" borderId="0"/>
  </cellStyleXfs>
  <cellXfs count="173">
    <xf numFmtId="0" fontId="0" fillId="0" borderId="0" xfId="0"/>
    <xf numFmtId="49" fontId="5" fillId="0" borderId="3" xfId="0" applyNumberFormat="1" applyFont="1" applyFill="1" applyBorder="1" applyAlignment="1">
      <alignment wrapText="1"/>
    </xf>
    <xf numFmtId="0" fontId="0" fillId="0" borderId="0" xfId="0" applyNumberFormat="1" applyFill="1" applyAlignment="1" applyProtection="1"/>
    <xf numFmtId="0" fontId="0" fillId="8" borderId="0" xfId="0" applyNumberFormat="1" applyFill="1" applyAlignment="1" applyProtection="1"/>
    <xf numFmtId="9" fontId="0" fillId="2" borderId="6" xfId="0" applyNumberFormat="1" applyFill="1" applyBorder="1" applyAlignment="1" applyProtection="1">
      <alignment horizontal="center"/>
    </xf>
    <xf numFmtId="0" fontId="0" fillId="2" borderId="0" xfId="0" applyNumberFormat="1" applyFill="1" applyAlignment="1" applyProtection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/>
    </xf>
    <xf numFmtId="0" fontId="0" fillId="8" borderId="1" xfId="0" applyNumberForma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9" borderId="13" xfId="0" applyNumberFormat="1" applyFill="1" applyBorder="1" applyAlignment="1" applyProtection="1"/>
    <xf numFmtId="164" fontId="0" fillId="2" borderId="15" xfId="0" applyNumberFormat="1" applyFill="1" applyBorder="1" applyAlignment="1" applyProtection="1"/>
    <xf numFmtId="164" fontId="0" fillId="2" borderId="7" xfId="0" applyNumberFormat="1" applyFill="1" applyBorder="1" applyAlignment="1" applyProtection="1"/>
    <xf numFmtId="0" fontId="0" fillId="2" borderId="1" xfId="0" applyNumberFormat="1" applyFill="1" applyBorder="1" applyAlignment="1" applyProtection="1"/>
    <xf numFmtId="0" fontId="0" fillId="10" borderId="0" xfId="0" applyNumberFormat="1" applyFill="1" applyAlignment="1" applyProtection="1"/>
    <xf numFmtId="0" fontId="1" fillId="3" borderId="9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5" fontId="1" fillId="3" borderId="5" xfId="0" applyNumberFormat="1" applyFont="1" applyFill="1" applyBorder="1" applyAlignment="1" applyProtection="1">
      <alignment horizontal="center" vertical="center"/>
      <protection locked="0"/>
    </xf>
    <xf numFmtId="9" fontId="1" fillId="3" borderId="17" xfId="0" applyNumberFormat="1" applyFont="1" applyFill="1" applyBorder="1" applyAlignment="1" applyProtection="1">
      <alignment horizontal="center" vertical="center"/>
      <protection locked="0"/>
    </xf>
    <xf numFmtId="164" fontId="1" fillId="6" borderId="18" xfId="0" applyNumberFormat="1" applyFont="1" applyFill="1" applyBorder="1" applyAlignment="1" applyProtection="1">
      <alignment horizontal="center" vertical="center"/>
      <protection locked="0"/>
    </xf>
    <xf numFmtId="164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1" fillId="6" borderId="18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9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30" xfId="0" applyNumberFormat="1" applyFont="1" applyFill="1" applyBorder="1" applyAlignment="1" applyProtection="1"/>
    <xf numFmtId="0" fontId="0" fillId="2" borderId="12" xfId="0" applyNumberFormat="1" applyFill="1" applyBorder="1" applyAlignment="1" applyProtection="1">
      <alignment vertical="center"/>
      <protection locked="0"/>
    </xf>
    <xf numFmtId="0" fontId="0" fillId="2" borderId="22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/>
    </xf>
    <xf numFmtId="0" fontId="0" fillId="2" borderId="19" xfId="0" applyNumberFormat="1" applyFill="1" applyBorder="1" applyAlignment="1" applyProtection="1"/>
    <xf numFmtId="49" fontId="0" fillId="2" borderId="19" xfId="0" applyNumberFormat="1" applyFill="1" applyBorder="1" applyAlignment="1" applyProtection="1">
      <alignment horizontal="center" vertical="center"/>
      <protection locked="0"/>
    </xf>
    <xf numFmtId="0" fontId="0" fillId="2" borderId="19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 vertical="center"/>
      <protection locked="0"/>
    </xf>
    <xf numFmtId="9" fontId="0" fillId="2" borderId="20" xfId="0" applyNumberFormat="1" applyFill="1" applyBorder="1" applyAlignment="1" applyProtection="1">
      <alignment horizontal="center"/>
    </xf>
    <xf numFmtId="164" fontId="0" fillId="9" borderId="12" xfId="0" applyNumberFormat="1" applyFill="1" applyBorder="1" applyAlignment="1" applyProtection="1"/>
    <xf numFmtId="0" fontId="0" fillId="2" borderId="21" xfId="0" applyNumberFormat="1" applyFill="1" applyBorder="1" applyAlignment="1" applyProtection="1"/>
    <xf numFmtId="164" fontId="0" fillId="2" borderId="21" xfId="0" applyNumberFormat="1" applyFill="1" applyBorder="1" applyAlignment="1" applyProtection="1"/>
    <xf numFmtId="164" fontId="0" fillId="2" borderId="22" xfId="0" applyNumberFormat="1" applyFill="1" applyBorder="1" applyAlignment="1" applyProtection="1"/>
    <xf numFmtId="0" fontId="0" fillId="2" borderId="23" xfId="0" applyNumberFormat="1" applyFill="1" applyBorder="1" applyAlignment="1" applyProtection="1"/>
    <xf numFmtId="0" fontId="2" fillId="5" borderId="31" xfId="0" applyNumberFormat="1" applyFont="1" applyFill="1" applyBorder="1" applyAlignment="1" applyProtection="1"/>
    <xf numFmtId="0" fontId="0" fillId="8" borderId="13" xfId="0" applyNumberFormat="1" applyFill="1" applyBorder="1" applyAlignment="1" applyProtection="1">
      <alignment vertical="center"/>
      <protection locked="0"/>
    </xf>
    <xf numFmtId="0" fontId="0" fillId="8" borderId="7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/>
    </xf>
    <xf numFmtId="164" fontId="0" fillId="8" borderId="1" xfId="0" applyNumberFormat="1" applyFill="1" applyBorder="1" applyAlignment="1" applyProtection="1">
      <alignment horizontal="center"/>
    </xf>
    <xf numFmtId="9" fontId="0" fillId="8" borderId="6" xfId="0" applyNumberFormat="1" applyFill="1" applyBorder="1" applyAlignment="1" applyProtection="1">
      <alignment horizontal="center"/>
    </xf>
    <xf numFmtId="164" fontId="0" fillId="8" borderId="13" xfId="0" applyNumberFormat="1" applyFill="1" applyBorder="1" applyAlignment="1" applyProtection="1"/>
    <xf numFmtId="164" fontId="0" fillId="8" borderId="15" xfId="0" applyNumberFormat="1" applyFill="1" applyBorder="1" applyAlignment="1" applyProtection="1"/>
    <xf numFmtId="164" fontId="0" fillId="8" borderId="7" xfId="0" applyNumberFormat="1" applyFill="1" applyBorder="1" applyAlignment="1" applyProtection="1"/>
    <xf numFmtId="0" fontId="0" fillId="8" borderId="24" xfId="0" applyNumberFormat="1" applyFill="1" applyBorder="1" applyAlignment="1" applyProtection="1"/>
    <xf numFmtId="0" fontId="0" fillId="4" borderId="13" xfId="0" applyNumberFormat="1" applyFill="1" applyBorder="1" applyAlignment="1" applyProtection="1">
      <alignment vertical="center"/>
      <protection locked="0"/>
    </xf>
    <xf numFmtId="0" fontId="0" fillId="4" borderId="7" xfId="0" applyNumberFormat="1" applyFill="1" applyBorder="1" applyAlignment="1" applyProtection="1">
      <alignment horizontal="center"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49" fontId="0" fillId="4" borderId="1" xfId="0" applyNumberFormat="1" applyFill="1" applyBorder="1" applyAlignment="1" applyProtection="1">
      <alignment horizontal="center"/>
    </xf>
    <xf numFmtId="164" fontId="0" fillId="4" borderId="1" xfId="0" applyNumberFormat="1" applyFill="1" applyBorder="1" applyAlignment="1" applyProtection="1">
      <alignment horizontal="center"/>
    </xf>
    <xf numFmtId="9" fontId="0" fillId="4" borderId="6" xfId="0" applyNumberFormat="1" applyFill="1" applyBorder="1" applyAlignment="1" applyProtection="1">
      <alignment horizontal="center"/>
    </xf>
    <xf numFmtId="164" fontId="0" fillId="4" borderId="15" xfId="0" applyNumberFormat="1" applyFill="1" applyBorder="1" applyAlignment="1" applyProtection="1"/>
    <xf numFmtId="164" fontId="0" fillId="4" borderId="7" xfId="0" applyNumberFormat="1" applyFill="1" applyBorder="1" applyAlignment="1" applyProtection="1"/>
    <xf numFmtId="0" fontId="0" fillId="4" borderId="24" xfId="0" applyNumberFormat="1" applyFill="1" applyBorder="1" applyAlignment="1" applyProtection="1"/>
    <xf numFmtId="0" fontId="0" fillId="4" borderId="1" xfId="0" applyNumberFormat="1" applyFill="1" applyBorder="1" applyAlignment="1" applyProtection="1"/>
    <xf numFmtId="49" fontId="0" fillId="4" borderId="1" xfId="0" applyNumberFormat="1" applyFill="1" applyBorder="1" applyAlignment="1" applyProtection="1"/>
    <xf numFmtId="0" fontId="0" fillId="4" borderId="15" xfId="0" applyNumberFormat="1" applyFill="1" applyBorder="1" applyAlignment="1" applyProtection="1"/>
    <xf numFmtId="0" fontId="0" fillId="8" borderId="1" xfId="0" applyNumberFormat="1" applyFill="1" applyBorder="1" applyAlignment="1" applyProtection="1"/>
    <xf numFmtId="49" fontId="0" fillId="8" borderId="1" xfId="0" applyNumberFormat="1" applyFill="1" applyBorder="1" applyAlignment="1" applyProtection="1"/>
    <xf numFmtId="0" fontId="0" fillId="8" borderId="15" xfId="0" applyNumberFormat="1" applyFill="1" applyBorder="1" applyAlignment="1" applyProtection="1"/>
    <xf numFmtId="0" fontId="2" fillId="5" borderId="32" xfId="0" applyNumberFormat="1" applyFont="1" applyFill="1" applyBorder="1" applyAlignment="1" applyProtection="1"/>
    <xf numFmtId="0" fontId="0" fillId="4" borderId="14" xfId="0" applyNumberFormat="1" applyFill="1" applyBorder="1" applyAlignment="1" applyProtection="1">
      <alignment vertical="center"/>
      <protection locked="0"/>
    </xf>
    <xf numFmtId="0" fontId="0" fillId="4" borderId="28" xfId="0" applyNumberFormat="1" applyFill="1" applyBorder="1" applyAlignment="1" applyProtection="1"/>
    <xf numFmtId="49" fontId="0" fillId="4" borderId="25" xfId="0" applyNumberFormat="1" applyFill="1" applyBorder="1" applyAlignment="1" applyProtection="1">
      <alignment horizontal="center" vertical="center"/>
      <protection locked="0"/>
    </xf>
    <xf numFmtId="49" fontId="0" fillId="4" borderId="25" xfId="0" applyNumberFormat="1" applyFill="1" applyBorder="1" applyAlignment="1" applyProtection="1">
      <alignment horizontal="center"/>
    </xf>
    <xf numFmtId="0" fontId="0" fillId="4" borderId="25" xfId="0" applyNumberFormat="1" applyFill="1" applyBorder="1" applyAlignment="1" applyProtection="1">
      <alignment horizontal="center"/>
    </xf>
    <xf numFmtId="164" fontId="0" fillId="4" borderId="25" xfId="0" applyNumberFormat="1" applyFill="1" applyBorder="1" applyAlignment="1" applyProtection="1">
      <alignment horizontal="center"/>
    </xf>
    <xf numFmtId="9" fontId="0" fillId="4" borderId="26" xfId="0" applyNumberFormat="1" applyFill="1" applyBorder="1" applyAlignment="1" applyProtection="1">
      <alignment horizontal="center"/>
    </xf>
    <xf numFmtId="164" fontId="0" fillId="9" borderId="14" xfId="0" applyNumberFormat="1" applyFill="1" applyBorder="1" applyAlignment="1" applyProtection="1"/>
    <xf numFmtId="164" fontId="0" fillId="2" borderId="27" xfId="0" applyNumberFormat="1" applyFill="1" applyBorder="1" applyAlignment="1" applyProtection="1"/>
    <xf numFmtId="164" fontId="0" fillId="4" borderId="27" xfId="0" applyNumberFormat="1" applyFill="1" applyBorder="1" applyAlignment="1" applyProtection="1"/>
    <xf numFmtId="164" fontId="0" fillId="4" borderId="28" xfId="0" applyNumberFormat="1" applyFill="1" applyBorder="1" applyAlignment="1" applyProtection="1"/>
    <xf numFmtId="0" fontId="0" fillId="4" borderId="29" xfId="0" applyNumberFormat="1" applyFill="1" applyBorder="1" applyAlignment="1" applyProtection="1"/>
    <xf numFmtId="0" fontId="0" fillId="8" borderId="3" xfId="0" applyNumberFormat="1" applyFill="1" applyBorder="1" applyAlignment="1" applyProtection="1">
      <alignment vertical="center"/>
      <protection locked="0"/>
    </xf>
    <xf numFmtId="0" fontId="0" fillId="8" borderId="3" xfId="0" applyNumberFormat="1" applyFill="1" applyBorder="1" applyAlignment="1" applyProtection="1">
      <alignment horizontal="center" vertical="center"/>
      <protection locked="0"/>
    </xf>
    <xf numFmtId="49" fontId="0" fillId="8" borderId="3" xfId="0" applyNumberFormat="1" applyFill="1" applyBorder="1" applyAlignment="1" applyProtection="1">
      <alignment horizontal="center" vertical="center"/>
      <protection locked="0"/>
    </xf>
    <xf numFmtId="49" fontId="0" fillId="8" borderId="3" xfId="0" applyNumberFormat="1" applyFill="1" applyBorder="1" applyAlignment="1" applyProtection="1">
      <alignment horizontal="center"/>
    </xf>
    <xf numFmtId="164" fontId="0" fillId="8" borderId="3" xfId="0" applyNumberFormat="1" applyFill="1" applyBorder="1" applyAlignment="1" applyProtection="1">
      <alignment horizontal="center"/>
    </xf>
    <xf numFmtId="9" fontId="0" fillId="8" borderId="4" xfId="0" applyNumberFormat="1" applyFill="1" applyBorder="1" applyAlignment="1" applyProtection="1">
      <alignment horizontal="center"/>
    </xf>
    <xf numFmtId="164" fontId="0" fillId="8" borderId="16" xfId="0" applyNumberFormat="1" applyFill="1" applyBorder="1" applyAlignment="1" applyProtection="1"/>
    <xf numFmtId="164" fontId="0" fillId="8" borderId="10" xfId="0" applyNumberFormat="1" applyFill="1" applyBorder="1" applyAlignment="1" applyProtection="1"/>
    <xf numFmtId="164" fontId="0" fillId="8" borderId="11" xfId="0" applyNumberFormat="1" applyFill="1" applyBorder="1" applyAlignment="1" applyProtection="1"/>
    <xf numFmtId="0" fontId="0" fillId="8" borderId="3" xfId="0" applyNumberFormat="1" applyFill="1" applyBorder="1" applyAlignment="1" applyProtection="1"/>
    <xf numFmtId="0" fontId="0" fillId="2" borderId="1" xfId="0" applyNumberFormat="1" applyFill="1" applyBorder="1" applyAlignment="1" applyProtection="1">
      <alignment horizontal="center"/>
    </xf>
    <xf numFmtId="0" fontId="0" fillId="2" borderId="15" xfId="0" applyNumberFormat="1" applyFill="1" applyBorder="1" applyAlignment="1" applyProtection="1"/>
    <xf numFmtId="0" fontId="0" fillId="8" borderId="1" xfId="0" applyNumberFormat="1" applyFill="1" applyBorder="1" applyAlignment="1" applyProtection="1">
      <alignment vertical="center"/>
      <protection locked="0"/>
    </xf>
    <xf numFmtId="0" fontId="0" fillId="8" borderId="1" xfId="0" applyNumberFormat="1" applyFill="1" applyBorder="1" applyAlignment="1" applyProtection="1">
      <alignment horizontal="center" vertical="center"/>
      <protection locked="0"/>
    </xf>
    <xf numFmtId="0" fontId="0" fillId="7" borderId="1" xfId="0" applyNumberFormat="1" applyFill="1" applyBorder="1" applyAlignment="1" applyProtection="1">
      <alignment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/>
    </xf>
    <xf numFmtId="0" fontId="0" fillId="7" borderId="1" xfId="0" applyNumberFormat="1" applyFill="1" applyBorder="1" applyAlignment="1" applyProtection="1">
      <alignment horizontal="center"/>
    </xf>
    <xf numFmtId="164" fontId="0" fillId="7" borderId="1" xfId="0" applyNumberFormat="1" applyFill="1" applyBorder="1" applyAlignment="1" applyProtection="1">
      <alignment horizontal="center"/>
    </xf>
    <xf numFmtId="9" fontId="0" fillId="7" borderId="6" xfId="0" applyNumberFormat="1" applyFill="1" applyBorder="1" applyAlignment="1" applyProtection="1">
      <alignment horizontal="center"/>
    </xf>
    <xf numFmtId="164" fontId="0" fillId="7" borderId="15" xfId="0" applyNumberFormat="1" applyFill="1" applyBorder="1" applyAlignment="1" applyProtection="1"/>
    <xf numFmtId="164" fontId="0" fillId="7" borderId="7" xfId="0" applyNumberFormat="1" applyFill="1" applyBorder="1" applyAlignment="1" applyProtection="1"/>
    <xf numFmtId="0" fontId="0" fillId="7" borderId="1" xfId="0" applyNumberFormat="1" applyFill="1" applyBorder="1" applyAlignment="1" applyProtection="1"/>
    <xf numFmtId="49" fontId="0" fillId="8" borderId="1" xfId="0" applyNumberFormat="1" applyFill="1" applyBorder="1" applyAlignment="1" applyProtection="1">
      <alignment horizontal="center" vertical="center" wrapText="1"/>
      <protection locked="0"/>
    </xf>
    <xf numFmtId="49" fontId="0" fillId="8" borderId="0" xfId="0" applyNumberFormat="1" applyFill="1" applyAlignment="1" applyProtection="1"/>
    <xf numFmtId="49" fontId="0" fillId="10" borderId="0" xfId="0" applyNumberFormat="1" applyFill="1" applyAlignment="1" applyProtection="1"/>
    <xf numFmtId="49" fontId="0" fillId="10" borderId="0" xfId="0" applyNumberFormat="1" applyFill="1" applyAlignment="1" applyProtection="1">
      <alignment horizontal="center"/>
    </xf>
    <xf numFmtId="0" fontId="0" fillId="10" borderId="0" xfId="0" applyNumberFormat="1" applyFill="1" applyAlignment="1" applyProtection="1">
      <alignment horizontal="center"/>
    </xf>
    <xf numFmtId="164" fontId="0" fillId="10" borderId="0" xfId="0" applyNumberFormat="1" applyFill="1" applyAlignment="1" applyProtection="1"/>
    <xf numFmtId="0" fontId="0" fillId="2" borderId="19" xfId="0" applyNumberFormat="1" applyFill="1" applyBorder="1" applyAlignment="1" applyProtection="1">
      <alignment vertical="center"/>
      <protection locked="0"/>
    </xf>
    <xf numFmtId="0" fontId="0" fillId="2" borderId="19" xfId="0" applyNumberFormat="1" applyFill="1" applyBorder="1" applyAlignment="1" applyProtection="1">
      <alignment horizontal="center" vertical="center"/>
      <protection locked="0"/>
    </xf>
    <xf numFmtId="49" fontId="1" fillId="3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/>
    </xf>
    <xf numFmtId="49" fontId="0" fillId="0" borderId="0" xfId="0" applyNumberFormat="1" applyFill="1" applyAlignment="1" applyProtection="1"/>
    <xf numFmtId="4" fontId="0" fillId="0" borderId="0" xfId="0" applyNumberFormat="1" applyFill="1" applyAlignment="1" applyProtection="1">
      <alignment wrapText="1"/>
    </xf>
    <xf numFmtId="0" fontId="0" fillId="0" borderId="0" xfId="0" applyNumberFormat="1" applyFill="1" applyAlignment="1" applyProtection="1">
      <alignment wrapText="1"/>
    </xf>
    <xf numFmtId="0" fontId="0" fillId="2" borderId="2" xfId="0" applyNumberFormat="1" applyFill="1" applyBorder="1" applyAlignment="1" applyProtection="1">
      <alignment vertical="center"/>
      <protection locked="0"/>
    </xf>
    <xf numFmtId="0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164" fontId="0" fillId="2" borderId="2" xfId="0" applyNumberFormat="1" applyFill="1" applyBorder="1" applyAlignment="1" applyProtection="1">
      <alignment horizontal="center"/>
    </xf>
    <xf numFmtId="9" fontId="0" fillId="2" borderId="33" xfId="0" applyNumberFormat="1" applyFill="1" applyBorder="1" applyAlignment="1" applyProtection="1">
      <alignment horizontal="center"/>
    </xf>
    <xf numFmtId="164" fontId="0" fillId="9" borderId="34" xfId="0" applyNumberFormat="1" applyFill="1" applyBorder="1" applyAlignment="1" applyProtection="1"/>
    <xf numFmtId="164" fontId="0" fillId="2" borderId="8" xfId="0" applyNumberFormat="1" applyFill="1" applyBorder="1" applyAlignment="1" applyProtection="1"/>
    <xf numFmtId="164" fontId="0" fillId="2" borderId="9" xfId="0" applyNumberFormat="1" applyFill="1" applyBorder="1" applyAlignment="1" applyProtection="1"/>
    <xf numFmtId="0" fontId="0" fillId="2" borderId="2" xfId="0" applyNumberFormat="1" applyFill="1" applyBorder="1" applyAlignment="1" applyProtection="1"/>
    <xf numFmtId="0" fontId="3" fillId="10" borderId="1" xfId="2" applyBorder="1"/>
    <xf numFmtId="0" fontId="3" fillId="10" borderId="1" xfId="3" applyBorder="1"/>
    <xf numFmtId="49" fontId="3" fillId="10" borderId="1" xfId="3" applyNumberFormat="1" applyBorder="1" applyAlignment="1">
      <alignment horizontal="center"/>
    </xf>
    <xf numFmtId="0" fontId="3" fillId="10" borderId="1" xfId="4" applyBorder="1" applyAlignment="1">
      <alignment horizontal="center"/>
    </xf>
    <xf numFmtId="0" fontId="0" fillId="10" borderId="1" xfId="0" applyNumberFormat="1" applyFill="1" applyBorder="1" applyAlignment="1" applyProtection="1">
      <alignment horizontal="center"/>
    </xf>
    <xf numFmtId="10" fontId="3" fillId="10" borderId="0" xfId="5" applyNumberFormat="1" applyAlignment="1">
      <alignment horizontal="center"/>
    </xf>
    <xf numFmtId="164" fontId="3" fillId="10" borderId="0" xfId="1" applyFill="1" applyAlignment="1">
      <alignment horizontal="center"/>
    </xf>
    <xf numFmtId="0" fontId="0" fillId="10" borderId="0" xfId="0" applyFill="1"/>
    <xf numFmtId="164" fontId="0" fillId="8" borderId="34" xfId="0" applyNumberFormat="1" applyFill="1" applyBorder="1" applyAlignment="1" applyProtection="1"/>
    <xf numFmtId="164" fontId="0" fillId="8" borderId="8" xfId="0" applyNumberFormat="1" applyFill="1" applyBorder="1" applyAlignment="1" applyProtection="1"/>
    <xf numFmtId="164" fontId="0" fillId="8" borderId="9" xfId="0" applyNumberFormat="1" applyFill="1" applyBorder="1" applyAlignment="1" applyProtection="1"/>
    <xf numFmtId="0" fontId="0" fillId="8" borderId="2" xfId="0" applyNumberFormat="1" applyFill="1" applyBorder="1" applyAlignment="1" applyProtection="1"/>
    <xf numFmtId="0" fontId="4" fillId="0" borderId="35" xfId="0" applyNumberFormat="1" applyFont="1" applyFill="1" applyBorder="1" applyAlignment="1" applyProtection="1"/>
    <xf numFmtId="166" fontId="1" fillId="3" borderId="9" xfId="0" applyNumberFormat="1" applyFont="1" applyFill="1" applyBorder="1" applyAlignment="1" applyProtection="1">
      <alignment horizontal="center" vertical="center"/>
      <protection locked="0"/>
    </xf>
    <xf numFmtId="166" fontId="0" fillId="0" borderId="3" xfId="1" applyNumberFormat="1" applyFont="1" applyFill="1" applyBorder="1" applyAlignment="1" applyProtection="1">
      <alignment horizontal="center" vertical="center"/>
      <protection locked="0"/>
    </xf>
    <xf numFmtId="166" fontId="0" fillId="0" borderId="1" xfId="1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Fill="1" applyAlignment="1" applyProtection="1"/>
    <xf numFmtId="166" fontId="4" fillId="0" borderId="1" xfId="1" applyNumberFormat="1" applyFont="1" applyFill="1" applyBorder="1" applyAlignment="1" applyProtection="1"/>
    <xf numFmtId="166" fontId="5" fillId="0" borderId="1" xfId="0" applyNumberFormat="1" applyFont="1" applyFill="1" applyBorder="1"/>
    <xf numFmtId="166" fontId="1" fillId="3" borderId="1" xfId="0" applyNumberFormat="1" applyFont="1" applyFill="1" applyBorder="1" applyAlignment="1" applyProtection="1">
      <alignment horizontal="center" vertical="center"/>
      <protection locked="0"/>
    </xf>
    <xf numFmtId="166" fontId="0" fillId="2" borderId="19" xfId="0" applyNumberFormat="1" applyFill="1" applyBorder="1" applyAlignment="1" applyProtection="1">
      <alignment vertical="center"/>
      <protection locked="0"/>
    </xf>
    <xf numFmtId="166" fontId="5" fillId="0" borderId="3" xfId="0" applyNumberFormat="1" applyFont="1" applyFill="1" applyBorder="1"/>
    <xf numFmtId="166" fontId="4" fillId="0" borderId="1" xfId="1" applyNumberFormat="1" applyFont="1" applyFill="1" applyBorder="1" applyAlignment="1" applyProtection="1">
      <alignment wrapText="1"/>
    </xf>
    <xf numFmtId="166" fontId="0" fillId="0" borderId="1" xfId="0" applyNumberFormat="1" applyFill="1" applyBorder="1" applyAlignment="1" applyProtection="1">
      <alignment wrapText="1"/>
    </xf>
    <xf numFmtId="166" fontId="0" fillId="0" borderId="1" xfId="0" applyNumberFormat="1" applyFill="1" applyBorder="1" applyAlignment="1" applyProtection="1"/>
    <xf numFmtId="0" fontId="5" fillId="0" borderId="0" xfId="0" applyFont="1" applyFill="1"/>
    <xf numFmtId="0" fontId="5" fillId="11" borderId="0" xfId="0" applyFont="1" applyFill="1"/>
    <xf numFmtId="0" fontId="5" fillId="11" borderId="2" xfId="0" applyFont="1" applyFill="1" applyBorder="1" applyAlignment="1" applyProtection="1">
      <alignment vertical="center"/>
      <protection locked="0"/>
    </xf>
    <xf numFmtId="0" fontId="5" fillId="11" borderId="9" xfId="0" applyFont="1" applyFill="1" applyBorder="1" applyAlignment="1" applyProtection="1">
      <alignment horizontal="center" vertical="center"/>
      <protection locked="0"/>
    </xf>
    <xf numFmtId="49" fontId="5" fillId="1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11" borderId="9" xfId="0" applyNumberFormat="1" applyFont="1" applyFill="1" applyBorder="1" applyAlignment="1" applyProtection="1">
      <alignment horizontal="center" vertical="center"/>
      <protection locked="0"/>
    </xf>
    <xf numFmtId="49" fontId="5" fillId="11" borderId="9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164" fontId="5" fillId="11" borderId="9" xfId="0" applyNumberFormat="1" applyFont="1" applyFill="1" applyBorder="1" applyAlignment="1">
      <alignment horizontal="center"/>
    </xf>
    <xf numFmtId="9" fontId="5" fillId="11" borderId="8" xfId="0" applyNumberFormat="1" applyFont="1" applyFill="1" applyBorder="1" applyAlignment="1">
      <alignment horizontal="center"/>
    </xf>
    <xf numFmtId="164" fontId="5" fillId="12" borderId="34" xfId="0" applyNumberFormat="1" applyFont="1" applyFill="1" applyBorder="1"/>
    <xf numFmtId="164" fontId="5" fillId="11" borderId="8" xfId="0" applyNumberFormat="1" applyFont="1" applyFill="1" applyBorder="1"/>
    <xf numFmtId="164" fontId="5" fillId="12" borderId="36" xfId="0" applyNumberFormat="1" applyFont="1" applyFill="1" applyBorder="1"/>
    <xf numFmtId="164" fontId="5" fillId="12" borderId="13" xfId="0" applyNumberFormat="1" applyFont="1" applyFill="1" applyBorder="1"/>
    <xf numFmtId="164" fontId="5" fillId="11" borderId="9" xfId="0" applyNumberFormat="1" applyFont="1" applyFill="1" applyBorder="1"/>
    <xf numFmtId="0" fontId="5" fillId="11" borderId="9" xfId="0" applyFont="1" applyFill="1" applyBorder="1"/>
  </cellXfs>
  <cellStyles count="7">
    <cellStyle name="Moeda" xfId="1" builtinId="4"/>
    <cellStyle name="Normal" xfId="0" builtinId="0"/>
    <cellStyle name="Normal 2" xfId="2" xr:uid="{3FBDF6D1-0E6B-46B6-A9AC-3286BB04EC17}"/>
    <cellStyle name="Normal 3" xfId="3" xr:uid="{9896B111-D488-4E5D-98F2-DF6EA5740B28}"/>
    <cellStyle name="Normal 4" xfId="4" xr:uid="{1F4672E8-801A-4846-B4AC-A7B79F6E903E}"/>
    <cellStyle name="Normal 5" xfId="5" xr:uid="{476827DD-5B48-45D0-8900-23A1E0FA6A05}"/>
    <cellStyle name="Normal 6" xfId="6" xr:uid="{B741A311-159B-49E5-AC1A-56C94DF61A53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0CC3-0080-4968-A317-19F08C8B9004}">
  <sheetPr codeName="Planilha1"/>
  <dimension ref="A1:AA42"/>
  <sheetViews>
    <sheetView zoomScale="96" zoomScaleNormal="96" workbookViewId="0">
      <pane xSplit="3" topLeftCell="D1" activePane="topRight" state="frozenSplit"/>
      <selection activeCell="K22" sqref="K22 K22"/>
      <selection pane="topRight" activeCell="K49" sqref="K49"/>
    </sheetView>
  </sheetViews>
  <sheetFormatPr defaultColWidth="8.7265625" defaultRowHeight="14.5" outlineLevelRow="3" x14ac:dyDescent="0.35"/>
  <cols>
    <col min="1" max="1" width="0.1796875" style="3" customWidth="1"/>
    <col min="2" max="2" width="0.90625" style="17" customWidth="1"/>
    <col min="3" max="3" width="46.08984375" style="17" bestFit="1" customWidth="1"/>
    <col min="4" max="4" width="11.54296875" style="17" bestFit="1" customWidth="1"/>
    <col min="5" max="5" width="8.7265625" style="107" customWidth="1"/>
    <col min="6" max="6" width="9.7265625" style="17" customWidth="1"/>
    <col min="7" max="7" width="12.1796875" style="108" customWidth="1"/>
    <col min="8" max="8" width="10.453125" style="109" customWidth="1"/>
    <col min="9" max="9" width="15.36328125" style="110" customWidth="1"/>
    <col min="10" max="10" width="21.453125" style="110" bestFit="1" customWidth="1"/>
    <col min="11" max="11" width="15.36328125" style="110" customWidth="1"/>
    <col min="12" max="12" width="15.6328125" style="111" customWidth="1"/>
    <col min="13" max="13" width="18.453125" style="17" customWidth="1"/>
    <col min="14" max="14" width="17.54296875" style="17" bestFit="1" customWidth="1"/>
    <col min="15" max="15" width="15.6328125" style="17" customWidth="1"/>
    <col min="16" max="16" width="16.453125" style="17" customWidth="1"/>
    <col min="17" max="17" width="15.6328125" style="17" customWidth="1"/>
    <col min="18" max="18" width="26.81640625" style="17" customWidth="1"/>
    <col min="19" max="19" width="18" style="17" customWidth="1"/>
    <col min="20" max="20" width="8.7265625" style="3" customWidth="1"/>
    <col min="21" max="16384" width="8.7265625" style="3"/>
  </cols>
  <sheetData>
    <row r="1" spans="1:27" s="17" customFormat="1" ht="43" customHeight="1" thickBot="1" x14ac:dyDescent="0.4">
      <c r="A1" s="17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21" t="s">
        <v>5</v>
      </c>
      <c r="H1" s="21" t="s">
        <v>6</v>
      </c>
      <c r="I1" s="20" t="s">
        <v>7</v>
      </c>
      <c r="J1" s="22" t="s">
        <v>8</v>
      </c>
      <c r="K1" s="23" t="s">
        <v>9</v>
      </c>
      <c r="L1" s="24" t="s">
        <v>10</v>
      </c>
      <c r="M1" s="25" t="s">
        <v>11</v>
      </c>
      <c r="N1" s="26" t="s">
        <v>12</v>
      </c>
      <c r="O1" s="26" t="s">
        <v>13</v>
      </c>
      <c r="P1" s="25" t="s">
        <v>14</v>
      </c>
      <c r="Q1" s="26" t="s">
        <v>15</v>
      </c>
      <c r="R1" s="27" t="s">
        <v>16</v>
      </c>
      <c r="S1" s="28" t="s">
        <v>17</v>
      </c>
      <c r="AA1" s="17">
        <v>1</v>
      </c>
    </row>
    <row r="2" spans="1:27" s="17" customFormat="1" ht="15" customHeight="1" x14ac:dyDescent="0.35">
      <c r="A2" s="3">
        <v>1</v>
      </c>
      <c r="B2" s="29"/>
      <c r="C2" s="30" t="s">
        <v>18</v>
      </c>
      <c r="D2" s="31" t="s">
        <v>19</v>
      </c>
      <c r="E2" s="32" t="s">
        <v>20</v>
      </c>
      <c r="F2" s="33"/>
      <c r="G2" s="34" t="s">
        <v>21</v>
      </c>
      <c r="H2" s="32" t="s">
        <v>22</v>
      </c>
      <c r="I2" s="35" t="s">
        <v>23</v>
      </c>
      <c r="J2" s="36">
        <v>542000</v>
      </c>
      <c r="K2" s="37">
        <v>0</v>
      </c>
      <c r="L2" s="38">
        <f>VALUE(VLOOKUP(Início!D2,Título!B:D,3,FALSE))</f>
        <v>0</v>
      </c>
      <c r="M2" s="39">
        <f t="shared" ref="M2:M11" si="0">IF(I2="Parcelado",L2,J2)*K2</f>
        <v>0</v>
      </c>
      <c r="N2" s="38"/>
      <c r="O2" s="38">
        <f>VALUE(VLOOKUP(G2,Liquidação!B:C,2,FALSE))</f>
        <v>0</v>
      </c>
      <c r="P2" s="40">
        <f>SUM(M2)</f>
        <v>0</v>
      </c>
      <c r="Q2" s="38">
        <f>VALUE(IF(N2&gt;=P2,O2,IF(N2+O2&gt;=P2,N2+O2-P2,0)))</f>
        <v>0</v>
      </c>
      <c r="R2" s="41">
        <f t="shared" ref="R2:R38" si="1">O2-Q2</f>
        <v>0</v>
      </c>
      <c r="S2" s="42">
        <f t="shared" ref="S2:S38" si="2">IF(Q2&gt;0,0,IF(N2+O2&gt;=P2,0,P2-(N2+O2)))</f>
        <v>0</v>
      </c>
    </row>
    <row r="3" spans="1:27" s="17" customFormat="1" ht="15" customHeight="1" thickBot="1" x14ac:dyDescent="0.4">
      <c r="A3" s="3">
        <v>2</v>
      </c>
      <c r="B3" s="43"/>
      <c r="C3" s="44" t="s">
        <v>24</v>
      </c>
      <c r="D3" s="45" t="s">
        <v>25</v>
      </c>
      <c r="E3" s="46" t="s">
        <v>26</v>
      </c>
      <c r="F3" s="46" t="s">
        <v>27</v>
      </c>
      <c r="G3" s="46" t="s">
        <v>28</v>
      </c>
      <c r="H3" s="47" t="s">
        <v>29</v>
      </c>
      <c r="I3" s="11" t="s">
        <v>23</v>
      </c>
      <c r="J3" s="48">
        <v>511414.19</v>
      </c>
      <c r="K3" s="49">
        <v>1</v>
      </c>
      <c r="L3" s="50">
        <f>VALUE(VLOOKUP(Início!D3,Título!B:D,3,FALSE))</f>
        <v>0</v>
      </c>
      <c r="M3" s="51">
        <f t="shared" si="0"/>
        <v>0</v>
      </c>
      <c r="N3" s="50">
        <f>VALUE(VLOOKUP(F3,Carteira!C:D,2,))</f>
        <v>0</v>
      </c>
      <c r="O3" s="50">
        <f>VALUE(VLOOKUP(G3,Liquidação!B:C,2,FALSE))</f>
        <v>0</v>
      </c>
      <c r="P3" s="51">
        <f>SUM(M3)</f>
        <v>0</v>
      </c>
      <c r="Q3" s="50">
        <f t="shared" ref="Q3:Q40" si="3">VALUE(IF(N3&gt;=P3,O3,IF(N3+O3&gt;=P3,N3+O3-P3,0)))</f>
        <v>0</v>
      </c>
      <c r="R3" s="52">
        <f t="shared" si="1"/>
        <v>0</v>
      </c>
      <c r="S3" s="53">
        <f t="shared" si="2"/>
        <v>0</v>
      </c>
    </row>
    <row r="4" spans="1:27" x14ac:dyDescent="0.35">
      <c r="A4" s="3">
        <v>3</v>
      </c>
      <c r="B4" s="43"/>
      <c r="C4" s="54" t="s">
        <v>30</v>
      </c>
      <c r="D4" s="55" t="s">
        <v>31</v>
      </c>
      <c r="E4" s="56" t="s">
        <v>20</v>
      </c>
      <c r="F4" s="56" t="s">
        <v>32</v>
      </c>
      <c r="G4" s="56" t="s">
        <v>33</v>
      </c>
      <c r="H4" s="57" t="s">
        <v>34</v>
      </c>
      <c r="I4" s="92" t="s">
        <v>35</v>
      </c>
      <c r="J4" s="58">
        <v>500000</v>
      </c>
      <c r="K4" s="59">
        <v>0.5</v>
      </c>
      <c r="L4" s="13">
        <f>VALUE(VLOOKUP(Início!D4,Título!B:D,3,FALSE))</f>
        <v>0</v>
      </c>
      <c r="M4" s="60">
        <f t="shared" si="0"/>
        <v>250000</v>
      </c>
      <c r="N4" s="13">
        <f>VALUE(VLOOKUP(F4,Carteira!C:D,2,))</f>
        <v>0</v>
      </c>
      <c r="O4" s="38">
        <f>VALUE(VLOOKUP(G4,Liquidação!B:C,2,FALSE))</f>
        <v>0</v>
      </c>
      <c r="P4" s="60">
        <f>SUM(M4:M5)</f>
        <v>501957.44</v>
      </c>
      <c r="Q4" s="13">
        <f t="shared" si="3"/>
        <v>0</v>
      </c>
      <c r="R4" s="61">
        <f t="shared" si="1"/>
        <v>0</v>
      </c>
      <c r="S4" s="62">
        <f t="shared" si="2"/>
        <v>501957.44</v>
      </c>
    </row>
    <row r="5" spans="1:27" outlineLevel="1" x14ac:dyDescent="0.35">
      <c r="A5" s="3">
        <v>4</v>
      </c>
      <c r="B5" s="43"/>
      <c r="C5" s="54" t="s">
        <v>30</v>
      </c>
      <c r="D5" s="55" t="s">
        <v>36</v>
      </c>
      <c r="E5" s="56"/>
      <c r="F5" s="63"/>
      <c r="G5" s="64"/>
      <c r="H5" s="57"/>
      <c r="I5" s="92" t="s">
        <v>35</v>
      </c>
      <c r="J5" s="58">
        <v>503914.88</v>
      </c>
      <c r="K5" s="59">
        <v>0.5</v>
      </c>
      <c r="L5" s="13">
        <f>VALUE(VLOOKUP(Início!D5,Título!B:D,3,FALSE))</f>
        <v>0</v>
      </c>
      <c r="M5" s="60">
        <f t="shared" si="0"/>
        <v>251957.44</v>
      </c>
      <c r="N5" s="13"/>
      <c r="O5" s="13"/>
      <c r="P5" s="65"/>
      <c r="Q5" s="13">
        <f t="shared" si="3"/>
        <v>0</v>
      </c>
      <c r="R5" s="61">
        <f t="shared" si="1"/>
        <v>0</v>
      </c>
      <c r="S5" s="62">
        <f t="shared" si="2"/>
        <v>0</v>
      </c>
    </row>
    <row r="6" spans="1:27" x14ac:dyDescent="0.35">
      <c r="A6" s="3">
        <v>5</v>
      </c>
      <c r="B6" s="43"/>
      <c r="C6" s="44" t="s">
        <v>37</v>
      </c>
      <c r="D6" s="45" t="s">
        <v>38</v>
      </c>
      <c r="E6" s="46" t="s">
        <v>39</v>
      </c>
      <c r="F6" s="46" t="s">
        <v>40</v>
      </c>
      <c r="G6" s="46" t="s">
        <v>41</v>
      </c>
      <c r="H6" s="47" t="s">
        <v>42</v>
      </c>
      <c r="I6" s="11" t="s">
        <v>23</v>
      </c>
      <c r="J6" s="48">
        <v>252000</v>
      </c>
      <c r="K6" s="49">
        <v>1</v>
      </c>
      <c r="L6" s="50">
        <f>VALUE(VLOOKUP(Início!D6,Título!B:D,3,FALSE))</f>
        <v>0</v>
      </c>
      <c r="M6" s="51">
        <f t="shared" si="0"/>
        <v>0</v>
      </c>
      <c r="N6" s="50">
        <f>VALUE(VLOOKUP(F6,Carteira!C:D,2,))</f>
        <v>0</v>
      </c>
      <c r="O6" s="50">
        <f>VALUE(VLOOKUP(G6,Liquidação!B:C,2,FALSE))</f>
        <v>0</v>
      </c>
      <c r="P6" s="51">
        <f>SUM(M6:M7)</f>
        <v>0</v>
      </c>
      <c r="Q6" s="50">
        <f t="shared" si="3"/>
        <v>0</v>
      </c>
      <c r="R6" s="52">
        <f t="shared" si="1"/>
        <v>0</v>
      </c>
      <c r="S6" s="53">
        <f t="shared" si="2"/>
        <v>0</v>
      </c>
    </row>
    <row r="7" spans="1:27" outlineLevel="1" x14ac:dyDescent="0.35">
      <c r="A7" s="3">
        <v>6</v>
      </c>
      <c r="B7" s="43"/>
      <c r="C7" s="44" t="s">
        <v>37</v>
      </c>
      <c r="D7" s="45" t="s">
        <v>43</v>
      </c>
      <c r="E7" s="46"/>
      <c r="F7" s="66"/>
      <c r="G7" s="67"/>
      <c r="H7" s="47"/>
      <c r="I7" s="11" t="s">
        <v>23</v>
      </c>
      <c r="J7" s="48">
        <v>255925</v>
      </c>
      <c r="K7" s="49">
        <v>1</v>
      </c>
      <c r="L7" s="50">
        <f>VALUE(VLOOKUP(Início!D7,Título!B:D,3,FALSE))</f>
        <v>0</v>
      </c>
      <c r="M7" s="51">
        <f t="shared" si="0"/>
        <v>0</v>
      </c>
      <c r="N7" s="50"/>
      <c r="O7" s="50"/>
      <c r="P7" s="68"/>
      <c r="Q7" s="50">
        <f t="shared" si="3"/>
        <v>0</v>
      </c>
      <c r="R7" s="52">
        <f t="shared" si="1"/>
        <v>0</v>
      </c>
      <c r="S7" s="53">
        <f t="shared" si="2"/>
        <v>0</v>
      </c>
    </row>
    <row r="8" spans="1:27" x14ac:dyDescent="0.35">
      <c r="A8" s="3">
        <v>9</v>
      </c>
      <c r="B8" s="43"/>
      <c r="C8" s="44" t="s">
        <v>44</v>
      </c>
      <c r="D8" s="45" t="s">
        <v>45</v>
      </c>
      <c r="E8" s="46" t="s">
        <v>46</v>
      </c>
      <c r="F8" s="46" t="s">
        <v>47</v>
      </c>
      <c r="G8" s="46" t="s">
        <v>48</v>
      </c>
      <c r="H8" s="47" t="s">
        <v>49</v>
      </c>
      <c r="I8" s="11" t="s">
        <v>23</v>
      </c>
      <c r="J8" s="48">
        <v>765258.74</v>
      </c>
      <c r="K8" s="49">
        <v>0.5</v>
      </c>
      <c r="L8" s="50">
        <f>VALUE(VLOOKUP(Início!D8,Título!B:D,3,FALSE))</f>
        <v>0</v>
      </c>
      <c r="M8" s="51">
        <f t="shared" si="0"/>
        <v>0</v>
      </c>
      <c r="N8" s="50">
        <f>VALUE(VLOOKUP(F8,Carteira!C:D,2,))</f>
        <v>0</v>
      </c>
      <c r="O8" s="50">
        <f>VALUE(VLOOKUP(G8,Liquidação!B:C,2,FALSE))</f>
        <v>0</v>
      </c>
      <c r="P8" s="51">
        <f>SUM(M8)</f>
        <v>0</v>
      </c>
      <c r="Q8" s="50">
        <f t="shared" si="3"/>
        <v>0</v>
      </c>
      <c r="R8" s="52">
        <f t="shared" si="1"/>
        <v>0</v>
      </c>
      <c r="S8" s="53">
        <f t="shared" si="2"/>
        <v>0</v>
      </c>
    </row>
    <row r="9" spans="1:27" s="17" customFormat="1" ht="15" customHeight="1" thickBot="1" x14ac:dyDescent="0.4">
      <c r="A9" s="3">
        <v>10</v>
      </c>
      <c r="B9" s="69"/>
      <c r="C9" s="70" t="s">
        <v>50</v>
      </c>
      <c r="D9" s="71"/>
      <c r="E9" s="72" t="s">
        <v>51</v>
      </c>
      <c r="F9" s="72" t="s">
        <v>52</v>
      </c>
      <c r="G9" s="72" t="s">
        <v>53</v>
      </c>
      <c r="H9" s="73" t="s">
        <v>54</v>
      </c>
      <c r="I9" s="74" t="s">
        <v>23</v>
      </c>
      <c r="J9" s="75"/>
      <c r="K9" s="76">
        <v>0.25</v>
      </c>
      <c r="L9" s="77"/>
      <c r="M9" s="78">
        <f t="shared" si="0"/>
        <v>0</v>
      </c>
      <c r="N9" s="77">
        <f>VALUE(VLOOKUP(F9,Carteira!C:D,2,))</f>
        <v>0</v>
      </c>
      <c r="O9" s="77">
        <f>VALUE(VLOOKUP(G9,Liquidação!B:C,2,FALSE))</f>
        <v>0</v>
      </c>
      <c r="P9" s="79">
        <f>SUM(M9)</f>
        <v>0</v>
      </c>
      <c r="Q9" s="77">
        <f t="shared" si="3"/>
        <v>0</v>
      </c>
      <c r="R9" s="80">
        <f t="shared" si="1"/>
        <v>0</v>
      </c>
      <c r="S9" s="81">
        <f t="shared" si="2"/>
        <v>0</v>
      </c>
    </row>
    <row r="10" spans="1:27" x14ac:dyDescent="0.35">
      <c r="A10" s="3">
        <v>11</v>
      </c>
      <c r="C10" s="82" t="s">
        <v>55</v>
      </c>
      <c r="D10" s="83" t="s">
        <v>56</v>
      </c>
      <c r="E10" s="84" t="s">
        <v>57</v>
      </c>
      <c r="F10" s="84" t="s">
        <v>58</v>
      </c>
      <c r="G10" s="84" t="s">
        <v>59</v>
      </c>
      <c r="H10" s="85" t="s">
        <v>60</v>
      </c>
      <c r="I10" s="11" t="s">
        <v>35</v>
      </c>
      <c r="J10" s="86">
        <v>1000000</v>
      </c>
      <c r="K10" s="87">
        <v>1</v>
      </c>
      <c r="L10" s="88">
        <f>VALUE(VLOOKUP(Início!D10,Título!B:D,3,FALSE))</f>
        <v>0</v>
      </c>
      <c r="M10" s="89">
        <f t="shared" si="0"/>
        <v>1000000</v>
      </c>
      <c r="N10" s="88">
        <f>VALUE(VLOOKUP(F10,Carteira!C:D,2,))</f>
        <v>0</v>
      </c>
      <c r="O10" s="88">
        <f>VALUE(VLOOKUP(G10,Liquidação!B:C,2,FALSE))</f>
        <v>0</v>
      </c>
      <c r="P10" s="89">
        <f>SUM(M10)</f>
        <v>1000000</v>
      </c>
      <c r="Q10" s="88">
        <f t="shared" si="3"/>
        <v>0</v>
      </c>
      <c r="R10" s="90">
        <f t="shared" si="1"/>
        <v>0</v>
      </c>
      <c r="S10" s="91">
        <f t="shared" si="2"/>
        <v>1000000</v>
      </c>
    </row>
    <row r="11" spans="1:27" x14ac:dyDescent="0.35">
      <c r="A11" s="3">
        <v>12</v>
      </c>
      <c r="B11" s="5"/>
      <c r="C11" s="6" t="s">
        <v>61</v>
      </c>
      <c r="D11" s="7" t="s">
        <v>62</v>
      </c>
      <c r="E11" s="10" t="s">
        <v>20</v>
      </c>
      <c r="F11" s="9" t="s">
        <v>63</v>
      </c>
      <c r="G11" s="9" t="s">
        <v>64</v>
      </c>
      <c r="H11" s="10" t="s">
        <v>65</v>
      </c>
      <c r="I11" s="92" t="s">
        <v>35</v>
      </c>
      <c r="J11" s="12">
        <v>200000</v>
      </c>
      <c r="K11" s="4">
        <v>1</v>
      </c>
      <c r="L11" s="13">
        <f>VALUE(VLOOKUP(Início!D11,Título!B:D,3,FALSE))</f>
        <v>0</v>
      </c>
      <c r="M11" s="14">
        <f t="shared" si="0"/>
        <v>200000</v>
      </c>
      <c r="N11" s="13">
        <f>VALUE(VLOOKUP(F11,Carteira!C:D,2,))</f>
        <v>0</v>
      </c>
      <c r="O11" s="13">
        <f>VALUE(VLOOKUP(G11,Liquidação!B:C,2,FALSE))</f>
        <v>0</v>
      </c>
      <c r="P11" s="14">
        <f>SUM(M11)</f>
        <v>200000</v>
      </c>
      <c r="Q11" s="13">
        <f t="shared" si="3"/>
        <v>0</v>
      </c>
      <c r="R11" s="15">
        <f t="shared" si="1"/>
        <v>0</v>
      </c>
      <c r="S11" s="16">
        <f t="shared" si="2"/>
        <v>200000</v>
      </c>
    </row>
    <row r="12" spans="1:27" outlineLevel="1" x14ac:dyDescent="0.35">
      <c r="A12" s="3">
        <v>13</v>
      </c>
      <c r="B12" s="5"/>
      <c r="C12" s="6" t="s">
        <v>61</v>
      </c>
      <c r="D12" s="7"/>
      <c r="E12" s="10" t="s">
        <v>39</v>
      </c>
      <c r="F12" s="9" t="s">
        <v>66</v>
      </c>
      <c r="G12" s="9"/>
      <c r="H12" s="10"/>
      <c r="I12" s="92"/>
      <c r="J12" s="12"/>
      <c r="K12" s="4"/>
      <c r="L12" s="13"/>
      <c r="M12" s="14"/>
      <c r="N12" s="13">
        <f>VALUE(VLOOKUP(F12,Carteira!C:D,2,))</f>
        <v>0</v>
      </c>
      <c r="O12" s="13"/>
      <c r="P12" s="93"/>
      <c r="Q12" s="13">
        <f t="shared" si="3"/>
        <v>0</v>
      </c>
      <c r="R12" s="15">
        <f t="shared" si="1"/>
        <v>0</v>
      </c>
      <c r="S12" s="16">
        <f t="shared" si="2"/>
        <v>0</v>
      </c>
    </row>
    <row r="13" spans="1:27" x14ac:dyDescent="0.35">
      <c r="A13" s="3">
        <v>14</v>
      </c>
      <c r="C13" s="94" t="s">
        <v>67</v>
      </c>
      <c r="D13" s="95" t="s">
        <v>68</v>
      </c>
      <c r="E13" s="46" t="s">
        <v>69</v>
      </c>
      <c r="F13" s="46" t="s">
        <v>70</v>
      </c>
      <c r="G13" s="46" t="s">
        <v>71</v>
      </c>
      <c r="H13" s="47" t="s">
        <v>72</v>
      </c>
      <c r="I13" s="11" t="s">
        <v>23</v>
      </c>
      <c r="J13" s="48">
        <v>611650</v>
      </c>
      <c r="K13" s="49">
        <v>1.25</v>
      </c>
      <c r="L13" s="50">
        <f>VALUE(VLOOKUP(Início!D13,Título!B:D,3,FALSE))</f>
        <v>0</v>
      </c>
      <c r="M13" s="51">
        <f t="shared" ref="M13:M22" si="4">IF(I13="Parcelado",L13,J13)*K13</f>
        <v>0</v>
      </c>
      <c r="N13" s="50">
        <f>VALUE(VLOOKUP(F13,Carteira!C:D,2,))</f>
        <v>0</v>
      </c>
      <c r="O13" s="50">
        <f>VALUE(VLOOKUP(G13,Liquidação!B:C,2,FALSE))</f>
        <v>0</v>
      </c>
      <c r="P13" s="51">
        <f>SUM(M13:M15)</f>
        <v>0</v>
      </c>
      <c r="Q13" s="50">
        <f t="shared" si="3"/>
        <v>0</v>
      </c>
      <c r="R13" s="52">
        <f t="shared" si="1"/>
        <v>0</v>
      </c>
      <c r="S13" s="66">
        <f t="shared" si="2"/>
        <v>0</v>
      </c>
    </row>
    <row r="14" spans="1:27" outlineLevel="2" x14ac:dyDescent="0.35">
      <c r="A14" s="3">
        <v>15</v>
      </c>
      <c r="C14" s="94" t="s">
        <v>67</v>
      </c>
      <c r="D14" s="95" t="s">
        <v>73</v>
      </c>
      <c r="E14" s="46"/>
      <c r="F14" s="66"/>
      <c r="G14" s="67"/>
      <c r="H14" s="47"/>
      <c r="I14" s="11" t="s">
        <v>23</v>
      </c>
      <c r="J14" s="48">
        <v>512973</v>
      </c>
      <c r="K14" s="49">
        <v>1.25</v>
      </c>
      <c r="L14" s="50">
        <f>VALUE(VLOOKUP(Início!D14,Título!B:D,3,FALSE))</f>
        <v>0</v>
      </c>
      <c r="M14" s="51">
        <f t="shared" si="4"/>
        <v>0</v>
      </c>
      <c r="N14" s="50"/>
      <c r="O14" s="50"/>
      <c r="P14" s="68"/>
      <c r="Q14" s="50">
        <f t="shared" si="3"/>
        <v>0</v>
      </c>
      <c r="R14" s="52">
        <f t="shared" si="1"/>
        <v>0</v>
      </c>
      <c r="S14" s="66">
        <f t="shared" si="2"/>
        <v>0</v>
      </c>
    </row>
    <row r="15" spans="1:27" outlineLevel="2" x14ac:dyDescent="0.35">
      <c r="A15" s="3">
        <v>16</v>
      </c>
      <c r="C15" s="94" t="s">
        <v>67</v>
      </c>
      <c r="D15" s="95" t="s">
        <v>74</v>
      </c>
      <c r="E15" s="46"/>
      <c r="F15" s="66"/>
      <c r="G15" s="67"/>
      <c r="H15" s="47"/>
      <c r="I15" s="11" t="s">
        <v>23</v>
      </c>
      <c r="J15" s="48">
        <v>205773</v>
      </c>
      <c r="K15" s="49">
        <v>1.25</v>
      </c>
      <c r="L15" s="50">
        <f>VALUE(VLOOKUP(Início!D15,Título!B:D,3,FALSE))</f>
        <v>0</v>
      </c>
      <c r="M15" s="51">
        <f t="shared" si="4"/>
        <v>0</v>
      </c>
      <c r="N15" s="50"/>
      <c r="O15" s="50"/>
      <c r="P15" s="68"/>
      <c r="Q15" s="50">
        <f t="shared" si="3"/>
        <v>0</v>
      </c>
      <c r="R15" s="52">
        <f t="shared" si="1"/>
        <v>0</v>
      </c>
      <c r="S15" s="66">
        <f t="shared" si="2"/>
        <v>0</v>
      </c>
    </row>
    <row r="16" spans="1:27" x14ac:dyDescent="0.35">
      <c r="A16" s="3">
        <v>17</v>
      </c>
      <c r="B16" s="5"/>
      <c r="C16" s="6" t="s">
        <v>75</v>
      </c>
      <c r="D16" s="7" t="s">
        <v>76</v>
      </c>
      <c r="E16" s="9" t="s">
        <v>39</v>
      </c>
      <c r="F16" s="9" t="s">
        <v>77</v>
      </c>
      <c r="G16" s="9" t="s">
        <v>78</v>
      </c>
      <c r="H16" s="10" t="s">
        <v>79</v>
      </c>
      <c r="I16" s="92" t="s">
        <v>23</v>
      </c>
      <c r="J16" s="12">
        <v>693642.64</v>
      </c>
      <c r="K16" s="4">
        <v>1</v>
      </c>
      <c r="L16" s="13">
        <f>VALUE(VLOOKUP(Início!D16,Título!B:D,3,FALSE))</f>
        <v>0</v>
      </c>
      <c r="M16" s="14">
        <f t="shared" si="4"/>
        <v>0</v>
      </c>
      <c r="N16" s="13">
        <f>VALUE(VLOOKUP(F16,Carteira!C:D,2,))</f>
        <v>0</v>
      </c>
      <c r="O16" s="13">
        <f>VALUE(VLOOKUP(G16,Liquidação!B:C,2,FALSE))</f>
        <v>0</v>
      </c>
      <c r="P16" s="14">
        <f>SUM(M16)</f>
        <v>0</v>
      </c>
      <c r="Q16" s="13">
        <f t="shared" si="3"/>
        <v>0</v>
      </c>
      <c r="R16" s="15">
        <f t="shared" si="1"/>
        <v>0</v>
      </c>
      <c r="S16" s="16">
        <f t="shared" si="2"/>
        <v>0</v>
      </c>
    </row>
    <row r="17" spans="1:19" x14ac:dyDescent="0.35">
      <c r="A17" s="3">
        <v>18</v>
      </c>
      <c r="C17" s="94" t="s">
        <v>80</v>
      </c>
      <c r="D17" s="95" t="s">
        <v>81</v>
      </c>
      <c r="E17" s="46" t="s">
        <v>82</v>
      </c>
      <c r="F17" s="46" t="s">
        <v>83</v>
      </c>
      <c r="G17" s="46" t="s">
        <v>84</v>
      </c>
      <c r="H17" s="47" t="s">
        <v>85</v>
      </c>
      <c r="I17" s="11" t="s">
        <v>23</v>
      </c>
      <c r="J17" s="48">
        <v>113022</v>
      </c>
      <c r="K17" s="49">
        <v>0.75</v>
      </c>
      <c r="L17" s="50">
        <f>VALUE(VLOOKUP(Início!D17,Título!B:D,3,FALSE))</f>
        <v>0</v>
      </c>
      <c r="M17" s="51">
        <f t="shared" si="4"/>
        <v>0</v>
      </c>
      <c r="N17" s="50">
        <f>VALUE(VLOOKUP(F17,Carteira!C:D,2,))</f>
        <v>0</v>
      </c>
      <c r="O17" s="50">
        <f>VALUE(VLOOKUP(G17,Liquidação!B:C,2,FALSE))</f>
        <v>0</v>
      </c>
      <c r="P17" s="51">
        <f>SUM(M17:M19)</f>
        <v>0</v>
      </c>
      <c r="Q17" s="50">
        <f t="shared" si="3"/>
        <v>0</v>
      </c>
      <c r="R17" s="52">
        <f t="shared" si="1"/>
        <v>0</v>
      </c>
      <c r="S17" s="66">
        <f t="shared" si="2"/>
        <v>0</v>
      </c>
    </row>
    <row r="18" spans="1:19" outlineLevel="2" x14ac:dyDescent="0.35">
      <c r="A18" s="3">
        <v>19</v>
      </c>
      <c r="C18" s="94" t="s">
        <v>80</v>
      </c>
      <c r="D18" s="95" t="s">
        <v>86</v>
      </c>
      <c r="E18" s="46"/>
      <c r="F18" s="66"/>
      <c r="G18" s="67"/>
      <c r="H18" s="47"/>
      <c r="I18" s="11" t="s">
        <v>23</v>
      </c>
      <c r="J18" s="48">
        <v>814234.26</v>
      </c>
      <c r="K18" s="49">
        <v>0.75</v>
      </c>
      <c r="L18" s="50">
        <f>VALUE(VLOOKUP(Início!D18,Título!B:D,3,FALSE))</f>
        <v>0</v>
      </c>
      <c r="M18" s="51">
        <f t="shared" si="4"/>
        <v>0</v>
      </c>
      <c r="N18" s="50"/>
      <c r="O18" s="50"/>
      <c r="P18" s="68"/>
      <c r="Q18" s="50">
        <f t="shared" si="3"/>
        <v>0</v>
      </c>
      <c r="R18" s="52">
        <f t="shared" si="1"/>
        <v>0</v>
      </c>
      <c r="S18" s="66">
        <f t="shared" si="2"/>
        <v>0</v>
      </c>
    </row>
    <row r="19" spans="1:19" outlineLevel="2" x14ac:dyDescent="0.35">
      <c r="A19" s="3">
        <v>20</v>
      </c>
      <c r="C19" s="94" t="s">
        <v>80</v>
      </c>
      <c r="D19" s="95" t="s">
        <v>87</v>
      </c>
      <c r="E19" s="46"/>
      <c r="F19" s="66"/>
      <c r="G19" s="67"/>
      <c r="H19" s="47"/>
      <c r="I19" s="11" t="s">
        <v>23</v>
      </c>
      <c r="J19" s="48">
        <v>295363.5</v>
      </c>
      <c r="K19" s="49">
        <v>0.75</v>
      </c>
      <c r="L19" s="50">
        <f>VALUE(VLOOKUP(Início!D19,Título!B:D,3,FALSE))</f>
        <v>0</v>
      </c>
      <c r="M19" s="51">
        <f t="shared" si="4"/>
        <v>0</v>
      </c>
      <c r="N19" s="50"/>
      <c r="O19" s="50"/>
      <c r="P19" s="68"/>
      <c r="Q19" s="50">
        <f t="shared" si="3"/>
        <v>0</v>
      </c>
      <c r="R19" s="52">
        <f t="shared" si="1"/>
        <v>0</v>
      </c>
      <c r="S19" s="66">
        <f t="shared" si="2"/>
        <v>0</v>
      </c>
    </row>
    <row r="20" spans="1:19" x14ac:dyDescent="0.35">
      <c r="A20" s="3">
        <v>21</v>
      </c>
      <c r="C20" s="96" t="s">
        <v>88</v>
      </c>
      <c r="D20" s="97" t="s">
        <v>89</v>
      </c>
      <c r="E20" s="98" t="s">
        <v>69</v>
      </c>
      <c r="F20" s="98" t="s">
        <v>90</v>
      </c>
      <c r="G20" s="98" t="s">
        <v>91</v>
      </c>
      <c r="H20" s="99" t="s">
        <v>92</v>
      </c>
      <c r="I20" s="100" t="s">
        <v>23</v>
      </c>
      <c r="J20" s="101">
        <v>243733.08</v>
      </c>
      <c r="K20" s="102">
        <v>1</v>
      </c>
      <c r="L20" s="13">
        <f>VALUE(VLOOKUP(Início!D20,Título!B:D,3,FALSE))</f>
        <v>0</v>
      </c>
      <c r="M20" s="14">
        <f t="shared" si="4"/>
        <v>0</v>
      </c>
      <c r="N20" s="13">
        <f>VALUE(VLOOKUP(F20,Carteira!C:D,2,))</f>
        <v>0</v>
      </c>
      <c r="O20" s="13">
        <f>VALUE(VLOOKUP(G20,Liquidação!B:C,2,FALSE))</f>
        <v>0</v>
      </c>
      <c r="P20" s="103">
        <f>SUM(M20)</f>
        <v>0</v>
      </c>
      <c r="Q20" s="13">
        <f t="shared" si="3"/>
        <v>0</v>
      </c>
      <c r="R20" s="104">
        <f t="shared" si="1"/>
        <v>0</v>
      </c>
      <c r="S20" s="105">
        <f t="shared" si="2"/>
        <v>0</v>
      </c>
    </row>
    <row r="21" spans="1:19" x14ac:dyDescent="0.35">
      <c r="A21" s="3">
        <v>22</v>
      </c>
      <c r="C21" s="94" t="s">
        <v>93</v>
      </c>
      <c r="D21" s="95" t="s">
        <v>94</v>
      </c>
      <c r="E21" s="46" t="s">
        <v>39</v>
      </c>
      <c r="F21" s="46" t="str">
        <f>"02604"</f>
        <v>02604</v>
      </c>
      <c r="G21" s="46" t="s">
        <v>95</v>
      </c>
      <c r="H21" s="47" t="s">
        <v>96</v>
      </c>
      <c r="I21" s="11" t="s">
        <v>23</v>
      </c>
      <c r="J21" s="48">
        <v>762383.43</v>
      </c>
      <c r="K21" s="49">
        <v>0.32790000000000002</v>
      </c>
      <c r="L21" s="50">
        <f>VALUE(VLOOKUP(Início!D21,Título!B:D,3,FALSE))</f>
        <v>0</v>
      </c>
      <c r="M21" s="51">
        <f t="shared" si="4"/>
        <v>0</v>
      </c>
      <c r="N21" s="50">
        <f>VALUE(VLOOKUP(F21,Carteira!C:D,2,))</f>
        <v>0</v>
      </c>
      <c r="O21" s="50">
        <f>VALUE(VLOOKUP(G21,Liquidação!B:C,2,FALSE))</f>
        <v>0</v>
      </c>
      <c r="P21" s="51">
        <f>SUM(M21)</f>
        <v>0</v>
      </c>
      <c r="Q21" s="50">
        <f t="shared" si="3"/>
        <v>0</v>
      </c>
      <c r="R21" s="52">
        <f t="shared" si="1"/>
        <v>0</v>
      </c>
      <c r="S21" s="66">
        <f t="shared" si="2"/>
        <v>0</v>
      </c>
    </row>
    <row r="22" spans="1:19" x14ac:dyDescent="0.35">
      <c r="A22" s="3">
        <v>23</v>
      </c>
      <c r="B22" s="5"/>
      <c r="C22" s="6" t="s">
        <v>97</v>
      </c>
      <c r="D22" s="7" t="s">
        <v>98</v>
      </c>
      <c r="E22" s="8" t="s">
        <v>20</v>
      </c>
      <c r="F22" s="9" t="s">
        <v>99</v>
      </c>
      <c r="G22" s="9" t="s">
        <v>100</v>
      </c>
      <c r="H22" s="10" t="s">
        <v>101</v>
      </c>
      <c r="I22" s="92" t="s">
        <v>35</v>
      </c>
      <c r="J22" s="12">
        <v>1100000</v>
      </c>
      <c r="K22" s="4">
        <v>0.6</v>
      </c>
      <c r="L22" s="13">
        <f>VALUE(VLOOKUP(Início!D22,Título!B:D,3,FALSE))</f>
        <v>0</v>
      </c>
      <c r="M22" s="14">
        <f t="shared" si="4"/>
        <v>660000</v>
      </c>
      <c r="N22" s="13">
        <f>VALUE(VLOOKUP(F22,Carteira!C:D,2,))</f>
        <v>0</v>
      </c>
      <c r="O22" s="13">
        <f>VALUE(VLOOKUP(G22,Liquidação!B:C,2,FALSE))</f>
        <v>0</v>
      </c>
      <c r="P22" s="14">
        <f>SUM(M22)</f>
        <v>660000</v>
      </c>
      <c r="Q22" s="13">
        <f t="shared" si="3"/>
        <v>0</v>
      </c>
      <c r="R22" s="15">
        <f t="shared" si="1"/>
        <v>0</v>
      </c>
      <c r="S22" s="16">
        <f t="shared" si="2"/>
        <v>660000</v>
      </c>
    </row>
    <row r="23" spans="1:19" outlineLevel="2" x14ac:dyDescent="0.35">
      <c r="A23" s="3">
        <v>24</v>
      </c>
      <c r="B23" s="5"/>
      <c r="C23" s="6" t="s">
        <v>97</v>
      </c>
      <c r="D23" s="7"/>
      <c r="E23" s="8" t="s">
        <v>69</v>
      </c>
      <c r="F23" s="9" t="s">
        <v>102</v>
      </c>
      <c r="G23" s="9"/>
      <c r="H23" s="10"/>
      <c r="I23" s="92"/>
      <c r="J23" s="12"/>
      <c r="K23" s="4"/>
      <c r="L23" s="13"/>
      <c r="M23" s="14"/>
      <c r="N23" s="13">
        <f>VALUE(VLOOKUP(F23,Carteira!C:D,2,))</f>
        <v>0</v>
      </c>
      <c r="O23" s="13"/>
      <c r="P23" s="93"/>
      <c r="Q23" s="13">
        <f t="shared" si="3"/>
        <v>0</v>
      </c>
      <c r="R23" s="15">
        <f t="shared" si="1"/>
        <v>0</v>
      </c>
      <c r="S23" s="16">
        <f t="shared" si="2"/>
        <v>0</v>
      </c>
    </row>
    <row r="24" spans="1:19" x14ac:dyDescent="0.35">
      <c r="A24" s="3">
        <v>25</v>
      </c>
      <c r="C24" s="94" t="s">
        <v>103</v>
      </c>
      <c r="D24" s="95" t="s">
        <v>104</v>
      </c>
      <c r="E24" s="106" t="s">
        <v>105</v>
      </c>
      <c r="F24" s="46" t="s">
        <v>106</v>
      </c>
      <c r="G24" s="46" t="s">
        <v>107</v>
      </c>
      <c r="H24" s="47" t="s">
        <v>108</v>
      </c>
      <c r="I24" s="11" t="s">
        <v>23</v>
      </c>
      <c r="J24" s="48">
        <v>202000</v>
      </c>
      <c r="K24" s="49">
        <v>1</v>
      </c>
      <c r="L24" s="50">
        <f>VALUE(VLOOKUP(Início!D24,Título!B:D,3,FALSE))</f>
        <v>0</v>
      </c>
      <c r="M24" s="51">
        <f t="shared" ref="M24:M38" si="5">IF(I24="Parcelado",L24,J24)*K24</f>
        <v>0</v>
      </c>
      <c r="N24" s="50">
        <f>VALUE(VLOOKUP(F24,Carteira!C:D,2,))</f>
        <v>0</v>
      </c>
      <c r="O24" s="50">
        <f>VALUE(VLOOKUP(G24,Liquidação!B:C,2,FALSE))</f>
        <v>0</v>
      </c>
      <c r="P24" s="51">
        <f>SUM(M24)</f>
        <v>0</v>
      </c>
      <c r="Q24" s="50">
        <f t="shared" si="3"/>
        <v>0</v>
      </c>
      <c r="R24" s="52">
        <f t="shared" si="1"/>
        <v>0</v>
      </c>
      <c r="S24" s="66">
        <f t="shared" si="2"/>
        <v>0</v>
      </c>
    </row>
    <row r="25" spans="1:19" x14ac:dyDescent="0.35">
      <c r="A25" s="3">
        <v>26</v>
      </c>
      <c r="B25" s="5"/>
      <c r="C25" s="6" t="s">
        <v>109</v>
      </c>
      <c r="D25" s="7" t="s">
        <v>110</v>
      </c>
      <c r="E25" s="8" t="s">
        <v>26</v>
      </c>
      <c r="F25" s="9" t="s">
        <v>111</v>
      </c>
      <c r="G25" s="9" t="s">
        <v>112</v>
      </c>
      <c r="H25" s="10" t="s">
        <v>113</v>
      </c>
      <c r="I25" s="92" t="s">
        <v>23</v>
      </c>
      <c r="J25" s="12">
        <v>50000</v>
      </c>
      <c r="K25" s="4">
        <v>1</v>
      </c>
      <c r="L25" s="13">
        <f>VALUE(VLOOKUP(Início!D25,Título!B:D,3,FALSE))</f>
        <v>0</v>
      </c>
      <c r="M25" s="14">
        <f t="shared" si="5"/>
        <v>0</v>
      </c>
      <c r="N25" s="13">
        <f>VALUE(VLOOKUP(F25,Carteira!C:D,2,))</f>
        <v>0</v>
      </c>
      <c r="O25" s="13">
        <f>VALUE(VLOOKUP(G25,Liquidação!B:C,2,FALSE))</f>
        <v>0</v>
      </c>
      <c r="P25" s="14">
        <f>SUM(M25)</f>
        <v>0</v>
      </c>
      <c r="Q25" s="13">
        <f t="shared" si="3"/>
        <v>0</v>
      </c>
      <c r="R25" s="15">
        <f t="shared" si="1"/>
        <v>0</v>
      </c>
      <c r="S25" s="16">
        <f t="shared" si="2"/>
        <v>0</v>
      </c>
    </row>
    <row r="26" spans="1:19" x14ac:dyDescent="0.35">
      <c r="A26" s="3">
        <v>27</v>
      </c>
      <c r="C26" s="94" t="s">
        <v>114</v>
      </c>
      <c r="D26" s="95" t="s">
        <v>115</v>
      </c>
      <c r="E26" s="106" t="s">
        <v>116</v>
      </c>
      <c r="F26" s="46" t="s">
        <v>117</v>
      </c>
      <c r="G26" s="46" t="s">
        <v>118</v>
      </c>
      <c r="H26" s="47" t="s">
        <v>119</v>
      </c>
      <c r="I26" s="11" t="s">
        <v>23</v>
      </c>
      <c r="J26" s="48">
        <v>419386</v>
      </c>
      <c r="K26" s="49">
        <v>1</v>
      </c>
      <c r="L26" s="50">
        <f>VALUE(VLOOKUP(Início!D26,Título!B:D,3,FALSE))</f>
        <v>0</v>
      </c>
      <c r="M26" s="51">
        <f t="shared" si="5"/>
        <v>0</v>
      </c>
      <c r="N26" s="50">
        <f>VALUE(VLOOKUP(F26,Carteira!C:D,2,))</f>
        <v>0</v>
      </c>
      <c r="O26" s="50">
        <f>VALUE(VLOOKUP(G26,Liquidação!B:C,2,FALSE))</f>
        <v>0</v>
      </c>
      <c r="P26" s="51">
        <f>SUM(M26:M27)</f>
        <v>0</v>
      </c>
      <c r="Q26" s="50">
        <f t="shared" si="3"/>
        <v>0</v>
      </c>
      <c r="R26" s="52">
        <f t="shared" si="1"/>
        <v>0</v>
      </c>
      <c r="S26" s="66">
        <f t="shared" si="2"/>
        <v>0</v>
      </c>
    </row>
    <row r="27" spans="1:19" outlineLevel="3" x14ac:dyDescent="0.35">
      <c r="A27" s="3">
        <v>28</v>
      </c>
      <c r="C27" s="94" t="s">
        <v>114</v>
      </c>
      <c r="D27" s="95" t="s">
        <v>120</v>
      </c>
      <c r="E27" s="106"/>
      <c r="F27" s="66"/>
      <c r="G27" s="67"/>
      <c r="H27" s="47"/>
      <c r="I27" s="11" t="s">
        <v>23</v>
      </c>
      <c r="J27" s="48">
        <v>1018711</v>
      </c>
      <c r="K27" s="49">
        <v>1</v>
      </c>
      <c r="L27" s="50">
        <f>VALUE(VLOOKUP(Início!D27,Título!B:D,3,FALSE))</f>
        <v>0</v>
      </c>
      <c r="M27" s="51">
        <f t="shared" si="5"/>
        <v>0</v>
      </c>
      <c r="N27" s="50"/>
      <c r="O27" s="50"/>
      <c r="P27" s="68"/>
      <c r="Q27" s="50">
        <f t="shared" si="3"/>
        <v>0</v>
      </c>
      <c r="R27" s="52">
        <f t="shared" si="1"/>
        <v>0</v>
      </c>
      <c r="S27" s="66">
        <f t="shared" si="2"/>
        <v>0</v>
      </c>
    </row>
    <row r="28" spans="1:19" x14ac:dyDescent="0.35">
      <c r="A28" s="3">
        <v>29</v>
      </c>
      <c r="B28" s="5"/>
      <c r="C28" s="6" t="s">
        <v>121</v>
      </c>
      <c r="D28" s="7" t="s">
        <v>122</v>
      </c>
      <c r="E28" s="8" t="s">
        <v>39</v>
      </c>
      <c r="F28" s="9" t="s">
        <v>123</v>
      </c>
      <c r="G28" s="9" t="s">
        <v>124</v>
      </c>
      <c r="H28" s="10" t="s">
        <v>125</v>
      </c>
      <c r="I28" s="11" t="s">
        <v>35</v>
      </c>
      <c r="J28" s="12">
        <v>80000</v>
      </c>
      <c r="K28" s="4">
        <v>1</v>
      </c>
      <c r="L28" s="13">
        <f>VALUE(VLOOKUP(Início!D28,Título!B:D,3,FALSE))</f>
        <v>0</v>
      </c>
      <c r="M28" s="14">
        <f t="shared" si="5"/>
        <v>80000</v>
      </c>
      <c r="N28" s="13">
        <f>VALUE(VLOOKUP(F28,Carteira!C:D,2,))</f>
        <v>0</v>
      </c>
      <c r="O28" s="13">
        <f>VALUE(VLOOKUP(G28,Liquidação!B:C,2,FALSE))</f>
        <v>0</v>
      </c>
      <c r="P28" s="14">
        <f t="shared" ref="P28:P38" si="6">SUM(M28)</f>
        <v>80000</v>
      </c>
      <c r="Q28" s="13">
        <f t="shared" si="3"/>
        <v>0</v>
      </c>
      <c r="R28" s="15">
        <f t="shared" si="1"/>
        <v>0</v>
      </c>
      <c r="S28" s="16">
        <f t="shared" si="2"/>
        <v>80000</v>
      </c>
    </row>
    <row r="29" spans="1:19" x14ac:dyDescent="0.35">
      <c r="A29" s="3">
        <v>30</v>
      </c>
      <c r="C29" s="94" t="s">
        <v>126</v>
      </c>
      <c r="D29" s="95" t="s">
        <v>127</v>
      </c>
      <c r="E29" s="106" t="s">
        <v>69</v>
      </c>
      <c r="F29" s="46" t="s">
        <v>128</v>
      </c>
      <c r="G29" s="46" t="s">
        <v>129</v>
      </c>
      <c r="H29" s="47" t="s">
        <v>130</v>
      </c>
      <c r="I29" s="11" t="s">
        <v>23</v>
      </c>
      <c r="J29" s="48">
        <v>67829</v>
      </c>
      <c r="K29" s="49">
        <v>1</v>
      </c>
      <c r="L29" s="50">
        <f>VALUE(VLOOKUP(Início!D29,Título!B:D,3,FALSE))</f>
        <v>0</v>
      </c>
      <c r="M29" s="51">
        <f t="shared" si="5"/>
        <v>0</v>
      </c>
      <c r="N29" s="50">
        <f>VALUE(VLOOKUP(F29,Carteira!C:D,2,))</f>
        <v>0</v>
      </c>
      <c r="O29" s="50">
        <f>VALUE(VLOOKUP(G29,Liquidação!B:C,2,FALSE))</f>
        <v>0</v>
      </c>
      <c r="P29" s="51">
        <f t="shared" si="6"/>
        <v>0</v>
      </c>
      <c r="Q29" s="50">
        <f t="shared" si="3"/>
        <v>0</v>
      </c>
      <c r="R29" s="52">
        <f t="shared" si="1"/>
        <v>0</v>
      </c>
      <c r="S29" s="66">
        <f t="shared" si="2"/>
        <v>0</v>
      </c>
    </row>
    <row r="30" spans="1:19" x14ac:dyDescent="0.35">
      <c r="A30" s="3">
        <v>31</v>
      </c>
      <c r="B30" s="5"/>
      <c r="C30" s="6" t="s">
        <v>131</v>
      </c>
      <c r="D30" s="7" t="s">
        <v>132</v>
      </c>
      <c r="E30" s="8" t="s">
        <v>39</v>
      </c>
      <c r="F30" s="9" t="s">
        <v>133</v>
      </c>
      <c r="G30" s="9" t="s">
        <v>134</v>
      </c>
      <c r="H30" s="10" t="s">
        <v>135</v>
      </c>
      <c r="I30" s="92" t="s">
        <v>23</v>
      </c>
      <c r="J30" s="12">
        <v>153360</v>
      </c>
      <c r="K30" s="4">
        <v>1</v>
      </c>
      <c r="L30" s="13">
        <f>VALUE(VLOOKUP(Início!D30,Título!B:D,3,FALSE))</f>
        <v>0</v>
      </c>
      <c r="M30" s="14">
        <f t="shared" si="5"/>
        <v>0</v>
      </c>
      <c r="N30" s="13">
        <f>VALUE(VLOOKUP(F30,Carteira!C:D,2,))</f>
        <v>0</v>
      </c>
      <c r="O30" s="13">
        <f>VALUE(VLOOKUP(G30,Liquidação!B:C,2,FALSE))</f>
        <v>0</v>
      </c>
      <c r="P30" s="14">
        <f t="shared" si="6"/>
        <v>0</v>
      </c>
      <c r="Q30" s="13">
        <f t="shared" si="3"/>
        <v>0</v>
      </c>
      <c r="R30" s="15">
        <f t="shared" si="1"/>
        <v>0</v>
      </c>
      <c r="S30" s="16">
        <f t="shared" si="2"/>
        <v>0</v>
      </c>
    </row>
    <row r="31" spans="1:19" x14ac:dyDescent="0.35">
      <c r="A31" s="3">
        <v>32</v>
      </c>
      <c r="C31" s="94" t="s">
        <v>136</v>
      </c>
      <c r="D31" s="95" t="s">
        <v>137</v>
      </c>
      <c r="E31" s="106" t="s">
        <v>69</v>
      </c>
      <c r="F31" s="46" t="s">
        <v>138</v>
      </c>
      <c r="G31" s="46" t="s">
        <v>139</v>
      </c>
      <c r="H31" s="47" t="s">
        <v>140</v>
      </c>
      <c r="I31" s="11" t="s">
        <v>23</v>
      </c>
      <c r="J31" s="48">
        <v>96098</v>
      </c>
      <c r="K31" s="49">
        <v>1</v>
      </c>
      <c r="L31" s="50">
        <f>VALUE(VLOOKUP(Início!D31,Título!B:D,3,FALSE))</f>
        <v>0</v>
      </c>
      <c r="M31" s="51">
        <f t="shared" si="5"/>
        <v>0</v>
      </c>
      <c r="N31" s="50">
        <f>VALUE(VLOOKUP(F31,Carteira!C:D,2,))</f>
        <v>0</v>
      </c>
      <c r="O31" s="50">
        <f>VALUE(VLOOKUP(G31,Liquidação!B:C,2,FALSE))</f>
        <v>0</v>
      </c>
      <c r="P31" s="51">
        <f t="shared" si="6"/>
        <v>0</v>
      </c>
      <c r="Q31" s="50">
        <f t="shared" si="3"/>
        <v>0</v>
      </c>
      <c r="R31" s="52">
        <f t="shared" si="1"/>
        <v>0</v>
      </c>
      <c r="S31" s="66">
        <f t="shared" si="2"/>
        <v>0</v>
      </c>
    </row>
    <row r="32" spans="1:19" x14ac:dyDescent="0.35">
      <c r="A32" s="3">
        <v>33</v>
      </c>
      <c r="B32" s="5"/>
      <c r="C32" s="6" t="s">
        <v>141</v>
      </c>
      <c r="D32" s="7" t="s">
        <v>142</v>
      </c>
      <c r="E32" s="8" t="s">
        <v>143</v>
      </c>
      <c r="F32" s="9" t="s">
        <v>144</v>
      </c>
      <c r="G32" s="9" t="s">
        <v>145</v>
      </c>
      <c r="H32" s="10" t="s">
        <v>146</v>
      </c>
      <c r="I32" s="92" t="s">
        <v>23</v>
      </c>
      <c r="J32" s="12">
        <v>30832</v>
      </c>
      <c r="K32" s="4">
        <v>1</v>
      </c>
      <c r="L32" s="13">
        <f>VALUE(VLOOKUP(Início!D32,Título!B:D,3,FALSE))</f>
        <v>0</v>
      </c>
      <c r="M32" s="14">
        <f t="shared" si="5"/>
        <v>0</v>
      </c>
      <c r="N32" s="13">
        <f>VALUE(VLOOKUP(F32,Carteira!C:D,2,))</f>
        <v>0</v>
      </c>
      <c r="O32" s="13">
        <f>VALUE(VLOOKUP(G32,Liquidação!B:C,2,FALSE))</f>
        <v>0</v>
      </c>
      <c r="P32" s="14">
        <f t="shared" si="6"/>
        <v>0</v>
      </c>
      <c r="Q32" s="13">
        <f t="shared" si="3"/>
        <v>0</v>
      </c>
      <c r="R32" s="15">
        <f t="shared" si="1"/>
        <v>0</v>
      </c>
      <c r="S32" s="16">
        <f t="shared" si="2"/>
        <v>0</v>
      </c>
    </row>
    <row r="33" spans="1:27" x14ac:dyDescent="0.35">
      <c r="A33" s="3">
        <v>34</v>
      </c>
      <c r="C33" s="94" t="s">
        <v>147</v>
      </c>
      <c r="D33" s="95" t="s">
        <v>148</v>
      </c>
      <c r="E33" s="106" t="s">
        <v>39</v>
      </c>
      <c r="F33" s="46" t="s">
        <v>149</v>
      </c>
      <c r="G33" s="46" t="s">
        <v>150</v>
      </c>
      <c r="H33" s="47" t="s">
        <v>151</v>
      </c>
      <c r="I33" s="11" t="s">
        <v>23</v>
      </c>
      <c r="J33" s="48">
        <v>30830</v>
      </c>
      <c r="K33" s="49">
        <v>1</v>
      </c>
      <c r="L33" s="50">
        <f>VALUE(VLOOKUP(Início!D33,Título!B:D,3,FALSE))</f>
        <v>0</v>
      </c>
      <c r="M33" s="51">
        <f t="shared" si="5"/>
        <v>0</v>
      </c>
      <c r="N33" s="50">
        <f>VALUE(VLOOKUP(F33,Carteira!C:D,2,))</f>
        <v>0</v>
      </c>
      <c r="O33" s="50">
        <f>VALUE(VLOOKUP(G33,Liquidação!B:C,2,FALSE))</f>
        <v>0</v>
      </c>
      <c r="P33" s="51">
        <f t="shared" si="6"/>
        <v>0</v>
      </c>
      <c r="Q33" s="50">
        <f t="shared" si="3"/>
        <v>0</v>
      </c>
      <c r="R33" s="52">
        <f t="shared" si="1"/>
        <v>0</v>
      </c>
      <c r="S33" s="66">
        <f t="shared" si="2"/>
        <v>0</v>
      </c>
    </row>
    <row r="34" spans="1:27" x14ac:dyDescent="0.35">
      <c r="A34" s="3">
        <v>35</v>
      </c>
      <c r="B34" s="5"/>
      <c r="C34" s="6" t="s">
        <v>152</v>
      </c>
      <c r="D34" s="7" t="s">
        <v>153</v>
      </c>
      <c r="E34" s="8" t="s">
        <v>51</v>
      </c>
      <c r="F34" s="9" t="s">
        <v>154</v>
      </c>
      <c r="G34" s="9" t="s">
        <v>155</v>
      </c>
      <c r="H34" s="10" t="s">
        <v>156</v>
      </c>
      <c r="I34" s="92" t="s">
        <v>23</v>
      </c>
      <c r="J34" s="12">
        <v>300000</v>
      </c>
      <c r="K34" s="4">
        <v>0.5</v>
      </c>
      <c r="L34" s="13">
        <f>VALUE(VLOOKUP(Início!D34,Título!B:D,3,FALSE))</f>
        <v>0</v>
      </c>
      <c r="M34" s="14">
        <f t="shared" si="5"/>
        <v>0</v>
      </c>
      <c r="N34" s="13">
        <f>VALUE(VLOOKUP(F34,Carteira!C:D,2,))</f>
        <v>0</v>
      </c>
      <c r="O34" s="13">
        <f>VALUE(VLOOKUP(G34,Liquidação!B:C,2,FALSE))</f>
        <v>0</v>
      </c>
      <c r="P34" s="14">
        <f t="shared" si="6"/>
        <v>0</v>
      </c>
      <c r="Q34" s="13">
        <f t="shared" si="3"/>
        <v>0</v>
      </c>
      <c r="R34" s="15">
        <f t="shared" si="1"/>
        <v>0</v>
      </c>
      <c r="S34" s="16">
        <f t="shared" si="2"/>
        <v>0</v>
      </c>
    </row>
    <row r="35" spans="1:27" x14ac:dyDescent="0.35">
      <c r="A35" s="3">
        <v>36</v>
      </c>
      <c r="C35" s="94" t="s">
        <v>157</v>
      </c>
      <c r="D35" s="95" t="s">
        <v>158</v>
      </c>
      <c r="E35" s="106" t="s">
        <v>143</v>
      </c>
      <c r="F35" s="46" t="s">
        <v>159</v>
      </c>
      <c r="G35" s="46" t="s">
        <v>160</v>
      </c>
      <c r="H35" s="47" t="s">
        <v>161</v>
      </c>
      <c r="I35" s="11" t="s">
        <v>35</v>
      </c>
      <c r="J35" s="48">
        <v>1000000</v>
      </c>
      <c r="K35" s="49">
        <v>1</v>
      </c>
      <c r="L35" s="50">
        <f>VALUE(VLOOKUP(Início!D35,Título!B:D,3,FALSE))</f>
        <v>0</v>
      </c>
      <c r="M35" s="51">
        <f t="shared" si="5"/>
        <v>1000000</v>
      </c>
      <c r="N35" s="50">
        <f>VALUE(VLOOKUP(F35,Carteira!C:D,2,))</f>
        <v>0</v>
      </c>
      <c r="O35" s="50">
        <f>VALUE(VLOOKUP(G35,Liquidação!B:C,2,FALSE))</f>
        <v>0</v>
      </c>
      <c r="P35" s="51">
        <f t="shared" si="6"/>
        <v>1000000</v>
      </c>
      <c r="Q35" s="50">
        <f t="shared" si="3"/>
        <v>0</v>
      </c>
      <c r="R35" s="52">
        <f t="shared" si="1"/>
        <v>0</v>
      </c>
      <c r="S35" s="66">
        <f t="shared" si="2"/>
        <v>1000000</v>
      </c>
    </row>
    <row r="36" spans="1:27" x14ac:dyDescent="0.35">
      <c r="A36" s="3">
        <v>37</v>
      </c>
      <c r="B36" s="5"/>
      <c r="C36" s="6" t="s">
        <v>162</v>
      </c>
      <c r="D36" s="7" t="s">
        <v>163</v>
      </c>
      <c r="E36" s="8" t="s">
        <v>105</v>
      </c>
      <c r="F36" s="9" t="s">
        <v>164</v>
      </c>
      <c r="G36" s="9" t="s">
        <v>165</v>
      </c>
      <c r="H36" s="10" t="s">
        <v>166</v>
      </c>
      <c r="I36" s="92" t="s">
        <v>23</v>
      </c>
      <c r="J36" s="12">
        <v>102631</v>
      </c>
      <c r="K36" s="4">
        <v>1</v>
      </c>
      <c r="L36" s="13">
        <f>VALUE(VLOOKUP(Início!D36,Título!B:D,3,FALSE))</f>
        <v>0</v>
      </c>
      <c r="M36" s="14">
        <f t="shared" si="5"/>
        <v>0</v>
      </c>
      <c r="N36" s="13">
        <f>VALUE(VLOOKUP(F36,Carteira!C:D,2,))</f>
        <v>0</v>
      </c>
      <c r="O36" s="13">
        <f>VALUE(VLOOKUP(G36,Liquidação!B:C,2,FALSE))</f>
        <v>0</v>
      </c>
      <c r="P36" s="14">
        <f t="shared" si="6"/>
        <v>0</v>
      </c>
      <c r="Q36" s="13">
        <f t="shared" si="3"/>
        <v>0</v>
      </c>
      <c r="R36" s="15">
        <f t="shared" si="1"/>
        <v>0</v>
      </c>
      <c r="S36" s="16">
        <f t="shared" si="2"/>
        <v>0</v>
      </c>
    </row>
    <row r="37" spans="1:27" x14ac:dyDescent="0.35">
      <c r="A37" s="3">
        <v>38</v>
      </c>
      <c r="C37" s="94" t="s">
        <v>167</v>
      </c>
      <c r="D37" s="95" t="s">
        <v>168</v>
      </c>
      <c r="E37" s="106" t="s">
        <v>116</v>
      </c>
      <c r="F37" s="46" t="s">
        <v>169</v>
      </c>
      <c r="G37" s="46" t="s">
        <v>170</v>
      </c>
      <c r="H37" s="47" t="s">
        <v>171</v>
      </c>
      <c r="I37" s="11" t="s">
        <v>23</v>
      </c>
      <c r="J37" s="48">
        <v>357204</v>
      </c>
      <c r="K37" s="49">
        <v>0.28000000000000003</v>
      </c>
      <c r="L37" s="50">
        <f>VALUE(VLOOKUP(Início!D37,Título!B:D,3,FALSE))</f>
        <v>0</v>
      </c>
      <c r="M37" s="51">
        <f t="shared" si="5"/>
        <v>0</v>
      </c>
      <c r="N37" s="50">
        <f>VALUE(VLOOKUP(F37,Carteira!C:D,2,))</f>
        <v>0</v>
      </c>
      <c r="O37" s="50">
        <f>VALUE(VLOOKUP(G37,Liquidação!B:C,2,FALSE))</f>
        <v>0</v>
      </c>
      <c r="P37" s="51">
        <f t="shared" si="6"/>
        <v>0</v>
      </c>
      <c r="Q37" s="13">
        <f ca="1">VALUE(IF(DAY(TODAY())&lt;25,O37,IF(N37&gt;=P37,O37,IF(N37+O37&gt;=P37,N37+O37-P37,0))))</f>
        <v>0</v>
      </c>
      <c r="R37" s="52">
        <f t="shared" ca="1" si="1"/>
        <v>0</v>
      </c>
      <c r="S37" s="66">
        <f t="shared" ca="1" si="2"/>
        <v>0</v>
      </c>
    </row>
    <row r="38" spans="1:27" s="17" customFormat="1" ht="15" customHeight="1" x14ac:dyDescent="0.35">
      <c r="A38" s="3">
        <v>39</v>
      </c>
      <c r="B38" s="5"/>
      <c r="C38" s="120" t="s">
        <v>172</v>
      </c>
      <c r="D38" s="121" t="s">
        <v>173</v>
      </c>
      <c r="E38" s="122" t="s">
        <v>174</v>
      </c>
      <c r="F38" s="123" t="s">
        <v>175</v>
      </c>
      <c r="G38" s="123" t="s">
        <v>176</v>
      </c>
      <c r="H38" s="124" t="s">
        <v>177</v>
      </c>
      <c r="I38" s="125" t="s">
        <v>23</v>
      </c>
      <c r="J38" s="126">
        <v>502150.58</v>
      </c>
      <c r="K38" s="127">
        <v>0.3</v>
      </c>
      <c r="L38" s="128">
        <f>VALUE(VLOOKUP(Início!D38,Título!B:D,3,FALSE))</f>
        <v>0</v>
      </c>
      <c r="M38" s="129">
        <f t="shared" si="5"/>
        <v>0</v>
      </c>
      <c r="N38" s="128">
        <f>VALUE(VLOOKUP(F38,Carteira!C:D,2,))</f>
        <v>0</v>
      </c>
      <c r="O38" s="128">
        <f>VALUE(VLOOKUP(G38,Liquidação!B:C,2,FALSE))</f>
        <v>0</v>
      </c>
      <c r="P38" s="129">
        <f t="shared" si="6"/>
        <v>0</v>
      </c>
      <c r="Q38" s="13">
        <f ca="1">VALUE(IF(DAY(TODAY())&lt;25,O38,IF(N38&gt;=P38,O38,IF(N38+O38&gt;=P38,N38+O38-P38,0))))</f>
        <v>0</v>
      </c>
      <c r="R38" s="130">
        <f t="shared" ca="1" si="1"/>
        <v>0</v>
      </c>
      <c r="S38" s="131">
        <f t="shared" ca="1" si="2"/>
        <v>0</v>
      </c>
    </row>
    <row r="39" spans="1:27" x14ac:dyDescent="0.35">
      <c r="C39" s="132" t="s">
        <v>182</v>
      </c>
      <c r="D39" s="133" t="s">
        <v>183</v>
      </c>
      <c r="E39" s="134" t="s">
        <v>57</v>
      </c>
      <c r="F39" s="134">
        <v>89181</v>
      </c>
      <c r="G39" s="135" t="s">
        <v>184</v>
      </c>
      <c r="H39" s="135" t="s">
        <v>185</v>
      </c>
      <c r="I39" s="136" t="s">
        <v>23</v>
      </c>
      <c r="J39" s="138">
        <v>53135</v>
      </c>
      <c r="K39" s="137">
        <v>0.115</v>
      </c>
      <c r="L39" s="140">
        <f>VALUE(VLOOKUP(Início!D39,Título!B:D,3,FALSE))</f>
        <v>0</v>
      </c>
      <c r="M39" s="141">
        <f t="shared" ref="M39" si="7">IF(I39="Parcelado",L39,J39)*K39</f>
        <v>0</v>
      </c>
      <c r="N39" s="140">
        <f>VALUE(VLOOKUP(F39,Carteira!C:D,2,))</f>
        <v>0</v>
      </c>
      <c r="O39" s="140">
        <f>VALUE(VLOOKUP(G39,Liquidação!B:C,2,FALSE))</f>
        <v>0</v>
      </c>
      <c r="P39" s="141">
        <f t="shared" ref="P39" si="8">SUM(M39)</f>
        <v>0</v>
      </c>
      <c r="Q39" s="50">
        <f t="shared" si="3"/>
        <v>0</v>
      </c>
      <c r="R39" s="142">
        <f t="shared" ref="R39" si="9">O39-Q39</f>
        <v>0</v>
      </c>
      <c r="S39" s="143">
        <f t="shared" ref="S39" si="10">IF(Q39&gt;0,0,IF(N39+O39&gt;=P39,0,P39-(N39+O39)))</f>
        <v>0</v>
      </c>
    </row>
    <row r="40" spans="1:27" s="17" customFormat="1" ht="15" customHeight="1" x14ac:dyDescent="0.35">
      <c r="A40" s="3"/>
      <c r="B40" s="5"/>
      <c r="C40" s="120" t="s">
        <v>186</v>
      </c>
      <c r="D40" s="121" t="s">
        <v>187</v>
      </c>
      <c r="E40" s="122">
        <v>15</v>
      </c>
      <c r="F40" s="123">
        <v>83158</v>
      </c>
      <c r="G40" s="123" t="s">
        <v>188</v>
      </c>
      <c r="H40" s="124" t="s">
        <v>189</v>
      </c>
      <c r="I40" s="125" t="s">
        <v>23</v>
      </c>
      <c r="J40" s="126">
        <v>199783.07</v>
      </c>
      <c r="K40" s="127">
        <v>1</v>
      </c>
      <c r="L40" s="128">
        <f>VALUE(VLOOKUP(Início!D40,Título!B:D,3,FALSE))</f>
        <v>0</v>
      </c>
      <c r="M40" s="129">
        <f t="shared" ref="M40" si="11">IF(I40="Parcelado",L40,J40)*K40</f>
        <v>0</v>
      </c>
      <c r="N40" s="128">
        <f>VALUE(VLOOKUP(F40,Carteira!C:D,2,))</f>
        <v>0</v>
      </c>
      <c r="O40" s="128">
        <f>VALUE(VLOOKUP(G40,Liquidação!B:C,2,FALSE))</f>
        <v>0</v>
      </c>
      <c r="P40" s="129">
        <f t="shared" ref="P40" si="12">SUM(M40)</f>
        <v>0</v>
      </c>
      <c r="Q40" s="13">
        <f t="shared" si="3"/>
        <v>0</v>
      </c>
      <c r="R40" s="130">
        <f t="shared" ref="R40" si="13">O40-Q40</f>
        <v>0</v>
      </c>
      <c r="S40" s="131">
        <f t="shared" ref="S40" si="14">IF(Q40&gt;0,0,IF(N40+O40&gt;=P40,0,P40-(N40+O40)))</f>
        <v>0</v>
      </c>
    </row>
    <row r="41" spans="1:27" x14ac:dyDescent="0.35">
      <c r="C41" s="132" t="s">
        <v>212</v>
      </c>
      <c r="D41" s="133" t="s">
        <v>213</v>
      </c>
      <c r="E41" s="134" t="s">
        <v>214</v>
      </c>
      <c r="F41" s="134" t="s">
        <v>216</v>
      </c>
      <c r="G41" s="135" t="s">
        <v>215</v>
      </c>
      <c r="H41" s="135" t="s">
        <v>217</v>
      </c>
      <c r="I41" s="136" t="s">
        <v>23</v>
      </c>
      <c r="J41" s="138">
        <v>102251</v>
      </c>
      <c r="K41" s="137">
        <v>1</v>
      </c>
      <c r="L41" s="140">
        <f>VALUE(VLOOKUP(Início!D41,Título!B:D,3,FALSE))</f>
        <v>0</v>
      </c>
      <c r="M41" s="141">
        <f t="shared" ref="M41" si="15">IF(I41="Parcelado",L41,J41)*K41</f>
        <v>0</v>
      </c>
      <c r="N41" s="140">
        <f>VALUE(VLOOKUP(F41,Carteira!C:D,2,))</f>
        <v>0</v>
      </c>
      <c r="O41" s="140">
        <f>VALUE(VLOOKUP(G41,Liquidação!B:C,2,FALSE))</f>
        <v>0</v>
      </c>
      <c r="P41" s="141">
        <f t="shared" ref="P41" si="16">SUM(M41)</f>
        <v>0</v>
      </c>
      <c r="Q41" s="50">
        <f t="shared" ref="Q41" si="17">VALUE(IF(N41&gt;=P41,O41,IF(N41+O41&gt;=P41,N41+O41-P41,0)))</f>
        <v>0</v>
      </c>
      <c r="R41" s="142">
        <f t="shared" ref="R41" si="18">O41-Q41</f>
        <v>0</v>
      </c>
      <c r="S41" s="143">
        <f t="shared" ref="S41" si="19">IF(Q41&gt;0,0,IF(N41+O41&gt;=P41,0,P41-(N41+O41)))</f>
        <v>0</v>
      </c>
    </row>
    <row r="42" spans="1:27" x14ac:dyDescent="0.35">
      <c r="A42" s="157"/>
      <c r="B42" s="158"/>
      <c r="C42" s="159" t="s">
        <v>219</v>
      </c>
      <c r="D42" s="160" t="s">
        <v>220</v>
      </c>
      <c r="E42" s="161" t="s">
        <v>214</v>
      </c>
      <c r="F42" s="162" t="s">
        <v>223</v>
      </c>
      <c r="G42" s="162" t="s">
        <v>221</v>
      </c>
      <c r="H42" s="163" t="s">
        <v>222</v>
      </c>
      <c r="I42" s="164" t="s">
        <v>23</v>
      </c>
      <c r="J42" s="165" t="s">
        <v>224</v>
      </c>
      <c r="K42" s="166">
        <v>0.5</v>
      </c>
      <c r="L42" s="167">
        <f>VALUE(VLOOKUP(Início!D42,Título!B:D,3,FALSE))</f>
        <v>0</v>
      </c>
      <c r="M42" s="168">
        <f t="shared" ref="M42" si="20">IF(I42="Parcelado",L42,J42)*K42</f>
        <v>0</v>
      </c>
      <c r="N42" s="167">
        <f>VALUE(VLOOKUP(F42,Carteira!C:D,2,))</f>
        <v>0</v>
      </c>
      <c r="O42" s="169">
        <f>VALUE(VLOOKUP(G42,Liquidação!B:C,2,FALSE))</f>
        <v>0</v>
      </c>
      <c r="P42" s="168">
        <f t="shared" ref="P42" si="21">SUM(M42)</f>
        <v>0</v>
      </c>
      <c r="Q42" s="170">
        <f t="shared" ref="Q42" si="22">VALUE(IF(N42&gt;=P42,O42,IF(N42+O42&gt;=P42,N42+O42-P42,0)))</f>
        <v>0</v>
      </c>
      <c r="R42" s="171">
        <f t="shared" ref="R42" si="23">O42-Q42</f>
        <v>0</v>
      </c>
      <c r="S42" s="172">
        <f t="shared" ref="S42" si="24">IF(Q42&gt;0,0,IF(N42+O42&gt;=P42,0,P42-(N42+O42)))</f>
        <v>0</v>
      </c>
      <c r="T42" s="157"/>
      <c r="U42" s="157"/>
      <c r="V42" s="157"/>
      <c r="W42" s="157"/>
      <c r="X42" s="157"/>
      <c r="Y42" s="157"/>
      <c r="Z42" s="157"/>
      <c r="AA42" s="157"/>
    </row>
  </sheetData>
  <autoFilter ref="C1:S38" xr:uid="{00000000-0009-0000-0000-000000000000}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F762-0B4A-448B-9872-4CBD09678ACC}">
  <sheetPr codeName="Planilha2"/>
  <dimension ref="A1:D39"/>
  <sheetViews>
    <sheetView topLeftCell="A28" workbookViewId="0">
      <selection activeCell="C41" sqref="C41"/>
    </sheetView>
  </sheetViews>
  <sheetFormatPr defaultRowHeight="14.5" x14ac:dyDescent="0.35"/>
  <cols>
    <col min="1" max="1" width="46.08984375" style="2" bestFit="1" customWidth="1"/>
    <col min="2" max="2" width="11.54296875" style="2" bestFit="1" customWidth="1"/>
    <col min="3" max="3" width="15.36328125" style="2" bestFit="1" customWidth="1"/>
    <col min="4" max="4" width="18.08984375" style="148" customWidth="1"/>
  </cols>
  <sheetData>
    <row r="1" spans="1:4" ht="15" customHeight="1" thickBot="1" x14ac:dyDescent="0.4">
      <c r="A1" s="18" t="s">
        <v>1</v>
      </c>
      <c r="B1" s="18" t="s">
        <v>2</v>
      </c>
      <c r="C1" s="18" t="str">
        <f>Início!I1</f>
        <v>Tipo de operação</v>
      </c>
      <c r="D1" s="151" t="s">
        <v>178</v>
      </c>
    </row>
    <row r="2" spans="1:4" ht="15" customHeight="1" thickBot="1" x14ac:dyDescent="0.4">
      <c r="A2" s="112" t="str">
        <f>Início!C2</f>
        <v>FRANCK F MULLER SUPERMERCADO EIRELI</v>
      </c>
      <c r="B2" s="112" t="s">
        <v>19</v>
      </c>
      <c r="C2" s="112" t="s">
        <v>23</v>
      </c>
      <c r="D2" s="152"/>
    </row>
    <row r="3" spans="1:4" ht="15" customHeight="1" thickBot="1" x14ac:dyDescent="0.4">
      <c r="A3" s="112" t="str">
        <f>Início!C3</f>
        <v>TROPICAL PEIXARIA E PRODUTOS NATURAIS EIRELI</v>
      </c>
      <c r="B3" s="112" t="s">
        <v>25</v>
      </c>
      <c r="C3" s="112" t="s">
        <v>23</v>
      </c>
      <c r="D3" s="150"/>
    </row>
    <row r="4" spans="1:4" ht="15" customHeight="1" thickBot="1" x14ac:dyDescent="0.4">
      <c r="A4" s="112" t="str">
        <f>Início!C4</f>
        <v>RAVENA DISTRIBUIDORA DE AUTO PECAS LTDA</v>
      </c>
      <c r="B4" s="112" t="s">
        <v>31</v>
      </c>
      <c r="C4" s="112" t="s">
        <v>23</v>
      </c>
      <c r="D4" s="153"/>
    </row>
    <row r="5" spans="1:4" ht="15" customHeight="1" thickBot="1" x14ac:dyDescent="0.4">
      <c r="A5" s="112" t="str">
        <f>Início!C5</f>
        <v>RAVENA DISTRIBUIDORA DE AUTO PECAS LTDA</v>
      </c>
      <c r="B5" s="112" t="s">
        <v>36</v>
      </c>
      <c r="C5" s="112" t="s">
        <v>23</v>
      </c>
      <c r="D5" s="153"/>
    </row>
    <row r="6" spans="1:4" ht="15" customHeight="1" thickBot="1" x14ac:dyDescent="0.4">
      <c r="A6" s="112" t="str">
        <f>Início!C6</f>
        <v>R M DOS SANTOS INFORMATICA EIRELI</v>
      </c>
      <c r="B6" s="112" t="s">
        <v>38</v>
      </c>
      <c r="C6" s="112" t="s">
        <v>23</v>
      </c>
      <c r="D6" s="153"/>
    </row>
    <row r="7" spans="1:4" ht="15" customHeight="1" thickBot="1" x14ac:dyDescent="0.4">
      <c r="A7" s="112" t="str">
        <f>Início!C7</f>
        <v>R M DOS SANTOS INFORMATICA EIRELI</v>
      </c>
      <c r="B7" s="112" t="s">
        <v>43</v>
      </c>
      <c r="C7" s="112" t="s">
        <v>23</v>
      </c>
      <c r="D7" s="153"/>
    </row>
    <row r="8" spans="1:4" ht="15" customHeight="1" thickBot="1" x14ac:dyDescent="0.4">
      <c r="A8" s="112" t="str">
        <f>Início!C8</f>
        <v>ELIANDRO DISTRIBUIDORA DE ALIMENTOS EIRELI</v>
      </c>
      <c r="B8" s="112" t="s">
        <v>45</v>
      </c>
      <c r="C8" s="112" t="s">
        <v>23</v>
      </c>
      <c r="D8" s="153"/>
    </row>
    <row r="9" spans="1:4" ht="15" customHeight="1" thickBot="1" x14ac:dyDescent="0.4">
      <c r="A9" s="112" t="str">
        <f>Início!C10</f>
        <v>DIELAT INDUSTRIA E COMERCIO DE LATICINIOS LTDA</v>
      </c>
      <c r="B9" s="112" t="s">
        <v>56</v>
      </c>
      <c r="C9" s="112" t="s">
        <v>23</v>
      </c>
      <c r="D9" s="153"/>
    </row>
    <row r="10" spans="1:4" ht="15" customHeight="1" thickBot="1" x14ac:dyDescent="0.4">
      <c r="A10" s="112" t="str">
        <f>Início!C11</f>
        <v>ROXO E SOUZA COMERCIO ATACADISTA LTDA</v>
      </c>
      <c r="B10" s="112" t="s">
        <v>62</v>
      </c>
      <c r="C10" s="112" t="s">
        <v>23</v>
      </c>
      <c r="D10" s="153"/>
    </row>
    <row r="11" spans="1:4" ht="15" customHeight="1" thickBot="1" x14ac:dyDescent="0.4">
      <c r="A11" s="112" t="str">
        <f>Início!C13</f>
        <v>GIGA NET INFORMATICA LTDA</v>
      </c>
      <c r="B11" s="112" t="s">
        <v>68</v>
      </c>
      <c r="C11" s="112" t="s">
        <v>23</v>
      </c>
      <c r="D11" s="153"/>
    </row>
    <row r="12" spans="1:4" ht="15" customHeight="1" thickBot="1" x14ac:dyDescent="0.4">
      <c r="A12" s="112" t="str">
        <f>Início!C14</f>
        <v>GIGA NET INFORMATICA LTDA</v>
      </c>
      <c r="B12" s="112" t="s">
        <v>73</v>
      </c>
      <c r="C12" s="112" t="s">
        <v>23</v>
      </c>
      <c r="D12" s="153"/>
    </row>
    <row r="13" spans="1:4" ht="15" customHeight="1" thickBot="1" x14ac:dyDescent="0.4">
      <c r="A13" s="112" t="str">
        <f>Início!C15</f>
        <v>GIGA NET INFORMATICA LTDA</v>
      </c>
      <c r="B13" s="112" t="s">
        <v>74</v>
      </c>
      <c r="C13" s="112" t="s">
        <v>23</v>
      </c>
      <c r="D13" s="153"/>
    </row>
    <row r="14" spans="1:4" ht="15" customHeight="1" thickBot="1" x14ac:dyDescent="0.4">
      <c r="A14" s="112" t="str">
        <f>Início!C16</f>
        <v>ASSOCIACAO DOS AMIGOS DA PRAIA DE TORRES</v>
      </c>
      <c r="B14" s="112" t="s">
        <v>76</v>
      </c>
      <c r="C14" s="112" t="s">
        <v>23</v>
      </c>
      <c r="D14" s="153"/>
    </row>
    <row r="15" spans="1:4" ht="15" customHeight="1" thickBot="1" x14ac:dyDescent="0.4">
      <c r="A15" s="112" t="str">
        <f>Início!C17</f>
        <v>NETPAL TELECOM LTDA</v>
      </c>
      <c r="B15" s="112" t="s">
        <v>81</v>
      </c>
      <c r="C15" s="112" t="s">
        <v>23</v>
      </c>
      <c r="D15" s="153"/>
    </row>
    <row r="16" spans="1:4" ht="15" customHeight="1" thickBot="1" x14ac:dyDescent="0.4">
      <c r="A16" s="112" t="str">
        <f>Início!C18</f>
        <v>NETPAL TELECOM LTDA</v>
      </c>
      <c r="B16" s="112" t="s">
        <v>86</v>
      </c>
      <c r="C16" s="112" t="s">
        <v>23</v>
      </c>
      <c r="D16" s="153"/>
    </row>
    <row r="17" spans="1:4" ht="15" customHeight="1" thickBot="1" x14ac:dyDescent="0.4">
      <c r="A17" s="112" t="str">
        <f>Início!C19</f>
        <v>NETPAL TELECOM LTDA</v>
      </c>
      <c r="B17" s="112" t="s">
        <v>87</v>
      </c>
      <c r="C17" s="112" t="s">
        <v>23</v>
      </c>
      <c r="D17" s="153"/>
    </row>
    <row r="18" spans="1:4" ht="15" customHeight="1" thickBot="1" x14ac:dyDescent="0.4">
      <c r="A18" s="112" t="str">
        <f>Início!C20</f>
        <v>ELEOMAR ALCIONE RAMOS CONSTRUCOES</v>
      </c>
      <c r="B18" s="112" t="s">
        <v>89</v>
      </c>
      <c r="C18" s="112" t="s">
        <v>23</v>
      </c>
      <c r="D18" s="153"/>
    </row>
    <row r="19" spans="1:4" ht="15" customHeight="1" thickBot="1" x14ac:dyDescent="0.4">
      <c r="A19" s="112" t="str">
        <f>Início!C21</f>
        <v>CONDOMINIO RESERVA DAS AGUAS</v>
      </c>
      <c r="B19" s="112" t="s">
        <v>94</v>
      </c>
      <c r="C19" s="112" t="s">
        <v>23</v>
      </c>
      <c r="D19" s="153"/>
    </row>
    <row r="20" spans="1:4" ht="15" customHeight="1" thickBot="1" x14ac:dyDescent="0.4">
      <c r="A20" s="112" t="str">
        <f>Início!C22</f>
        <v>LIZANDRA DA SILVA</v>
      </c>
      <c r="B20" s="112" t="s">
        <v>98</v>
      </c>
      <c r="C20" s="112" t="s">
        <v>23</v>
      </c>
      <c r="D20" s="153"/>
    </row>
    <row r="21" spans="1:4" ht="15" customHeight="1" thickBot="1" x14ac:dyDescent="0.4">
      <c r="A21" s="112" t="str">
        <f>Início!C24</f>
        <v>SEVERO E PRADO LTDA</v>
      </c>
      <c r="B21" s="112" t="s">
        <v>104</v>
      </c>
      <c r="C21" s="112" t="s">
        <v>23</v>
      </c>
      <c r="D21" s="153"/>
    </row>
    <row r="22" spans="1:4" ht="15" customHeight="1" thickBot="1" x14ac:dyDescent="0.4">
      <c r="A22" s="112" t="str">
        <f>Início!C25</f>
        <v>POWERSERV SOLUCOES INTERNET LTDA</v>
      </c>
      <c r="B22" s="112" t="s">
        <v>110</v>
      </c>
      <c r="C22" s="112" t="s">
        <v>23</v>
      </c>
      <c r="D22" s="153"/>
    </row>
    <row r="23" spans="1:4" ht="15" customHeight="1" thickBot="1" x14ac:dyDescent="0.4">
      <c r="A23" s="112" t="str">
        <f>Início!C26</f>
        <v>JUVESA VEICULOS LTDA</v>
      </c>
      <c r="B23" s="112" t="s">
        <v>115</v>
      </c>
      <c r="C23" s="112" t="s">
        <v>23</v>
      </c>
      <c r="D23" s="153"/>
    </row>
    <row r="24" spans="1:4" ht="15" customHeight="1" thickBot="1" x14ac:dyDescent="0.4">
      <c r="A24" s="112" t="str">
        <f>Início!C27</f>
        <v>JUVESA VEICULOS LTDA</v>
      </c>
      <c r="B24" s="112" t="s">
        <v>120</v>
      </c>
      <c r="C24" s="112" t="s">
        <v>23</v>
      </c>
      <c r="D24" s="153"/>
    </row>
    <row r="25" spans="1:4" ht="15" customHeight="1" thickBot="1" x14ac:dyDescent="0.4">
      <c r="A25" s="112" t="str">
        <f>Início!C28</f>
        <v>ARTESANATO CENTENARIO LTDA</v>
      </c>
      <c r="B25" s="112" t="s">
        <v>122</v>
      </c>
      <c r="C25" s="112" t="s">
        <v>23</v>
      </c>
      <c r="D25" s="153"/>
    </row>
    <row r="26" spans="1:4" ht="15" customHeight="1" thickBot="1" x14ac:dyDescent="0.4">
      <c r="A26" s="112" t="str">
        <f>Início!C29</f>
        <v>TIAGO ROST NET</v>
      </c>
      <c r="B26" s="112" t="s">
        <v>127</v>
      </c>
      <c r="C26" s="112" t="s">
        <v>23</v>
      </c>
      <c r="D26" s="153"/>
    </row>
    <row r="27" spans="1:4" ht="15" customHeight="1" thickBot="1" x14ac:dyDescent="0.4">
      <c r="A27" s="112" t="str">
        <f>Início!C30</f>
        <v>AGUIA CONTABILIDADE EIRELI</v>
      </c>
      <c r="B27" s="112" t="s">
        <v>132</v>
      </c>
      <c r="C27" s="112" t="s">
        <v>23</v>
      </c>
      <c r="D27" s="153"/>
    </row>
    <row r="28" spans="1:4" ht="15" customHeight="1" thickBot="1" x14ac:dyDescent="0.4">
      <c r="A28" s="112" t="str">
        <f>Início!C31</f>
        <v xml:space="preserve">JOVIAL ABRASIVOS FABRICACAO DE ESCOVAS LTDA </v>
      </c>
      <c r="B28" s="112" t="s">
        <v>137</v>
      </c>
      <c r="C28" s="112" t="s">
        <v>23</v>
      </c>
      <c r="D28" s="153"/>
    </row>
    <row r="29" spans="1:4" ht="15" customHeight="1" thickBot="1" x14ac:dyDescent="0.4">
      <c r="A29" s="112" t="str">
        <f>Início!C32</f>
        <v>EMPRESA DE SEGURANCA PINHAL LTDA</v>
      </c>
      <c r="B29" s="112" t="s">
        <v>142</v>
      </c>
      <c r="C29" s="112" t="s">
        <v>23</v>
      </c>
      <c r="D29" s="153"/>
    </row>
    <row r="30" spans="1:4" ht="15" customHeight="1" thickBot="1" x14ac:dyDescent="0.4">
      <c r="A30" s="112" t="str">
        <f>Início!C33</f>
        <v>LUGON IMOVEIS LTDA</v>
      </c>
      <c r="B30" s="112" t="s">
        <v>148</v>
      </c>
      <c r="C30" s="112" t="s">
        <v>23</v>
      </c>
      <c r="D30" s="153"/>
    </row>
    <row r="31" spans="1:4" ht="15" customHeight="1" thickBot="1" x14ac:dyDescent="0.4">
      <c r="A31" s="112" t="str">
        <f>Início!C34</f>
        <v>STIER BIER INDUSTRIA E COMERCIO DE BEBIDAS LTDA</v>
      </c>
      <c r="B31" s="112" t="s">
        <v>153</v>
      </c>
      <c r="C31" s="112" t="s">
        <v>23</v>
      </c>
      <c r="D31" s="153"/>
    </row>
    <row r="32" spans="1:4" ht="15" customHeight="1" thickBot="1" x14ac:dyDescent="0.4">
      <c r="A32" s="112" t="str">
        <f>Início!C35</f>
        <v>RUMO CERTO AGROCOMERCIAL LTDA</v>
      </c>
      <c r="B32" s="112" t="s">
        <v>158</v>
      </c>
      <c r="C32" s="112" t="s">
        <v>23</v>
      </c>
      <c r="D32" s="153"/>
    </row>
    <row r="33" spans="1:4" ht="15" customHeight="1" thickBot="1" x14ac:dyDescent="0.4">
      <c r="A33" s="112" t="str">
        <f>Início!C36</f>
        <v>RUTSATZ COMERCIO E REDE DE ENSINO LTDA</v>
      </c>
      <c r="B33" s="112" t="s">
        <v>163</v>
      </c>
      <c r="C33" s="112" t="s">
        <v>23</v>
      </c>
      <c r="D33" s="153"/>
    </row>
    <row r="34" spans="1:4" ht="15" customHeight="1" thickBot="1" x14ac:dyDescent="0.4">
      <c r="A34" s="112" t="str">
        <f>Início!C37</f>
        <v>CONDOMINIO RESIDENCIAL BELLVILLE</v>
      </c>
      <c r="B34" s="112" t="s">
        <v>168</v>
      </c>
      <c r="C34" s="112" t="s">
        <v>23</v>
      </c>
      <c r="D34" s="153"/>
    </row>
    <row r="35" spans="1:4" ht="15" customHeight="1" thickBot="1" x14ac:dyDescent="0.4">
      <c r="A35" s="112" t="str">
        <f>Início!C38</f>
        <v>CONDOMINIO HORIZONTAL MARITIMO</v>
      </c>
      <c r="B35" s="112" t="s">
        <v>173</v>
      </c>
      <c r="C35" s="112" t="s">
        <v>23</v>
      </c>
      <c r="D35" s="153"/>
    </row>
    <row r="36" spans="1:4" ht="15" thickBot="1" x14ac:dyDescent="0.4">
      <c r="A36" s="112" t="str">
        <f>Início!C39</f>
        <v>RESIDENCIAL ANA JULIA</v>
      </c>
      <c r="B36" s="112" t="s">
        <v>183</v>
      </c>
      <c r="C36" s="112" t="s">
        <v>23</v>
      </c>
    </row>
    <row r="37" spans="1:4" ht="15" thickBot="1" x14ac:dyDescent="0.4">
      <c r="A37" s="112" t="str">
        <f>Início!C40</f>
        <v>EVEN TELECOM LTDA</v>
      </c>
      <c r="B37" s="112" t="s">
        <v>187</v>
      </c>
      <c r="C37" s="112" t="s">
        <v>23</v>
      </c>
    </row>
    <row r="38" spans="1:4" ht="15" thickBot="1" x14ac:dyDescent="0.4">
      <c r="A38" s="112" t="str">
        <f>Início!C41</f>
        <v>SANVITRON CONTROLE E AUTOMACAO EIRELI</v>
      </c>
      <c r="B38" s="144" t="s">
        <v>213</v>
      </c>
      <c r="C38" s="112" t="s">
        <v>23</v>
      </c>
    </row>
    <row r="39" spans="1:4" x14ac:dyDescent="0.35">
      <c r="A39" s="112" t="str">
        <f>Início!C42</f>
        <v>RCI TELECOMUNICACOES LTD</v>
      </c>
      <c r="B39" s="112" t="s">
        <v>220</v>
      </c>
      <c r="C39" s="112" t="s">
        <v>23</v>
      </c>
    </row>
  </sheetData>
  <phoneticPr fontId="6" type="noConversion"/>
  <conditionalFormatting sqref="D1:D2">
    <cfRule type="duplicateValues" dxfId="4" priority="1"/>
  </conditionalFormatting>
  <conditionalFormatting sqref="D36:D1048576">
    <cfRule type="duplicateValues" dxfId="3" priority="2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D303-1BA5-469C-AD49-1AF600A2F8C4}">
  <sheetPr codeName="Planilha3"/>
  <dimension ref="A1:D34"/>
  <sheetViews>
    <sheetView topLeftCell="A19" workbookViewId="0">
      <selection activeCell="E30" sqref="E30"/>
    </sheetView>
  </sheetViews>
  <sheetFormatPr defaultRowHeight="14.5" x14ac:dyDescent="0.35"/>
  <cols>
    <col min="1" max="1" width="46.08984375" style="2" bestFit="1" customWidth="1"/>
    <col min="2" max="2" width="11.54296875" style="115" bestFit="1" customWidth="1"/>
    <col min="3" max="3" width="11.54296875" style="116" bestFit="1" customWidth="1"/>
    <col min="4" max="4" width="18.90625" style="148" bestFit="1" customWidth="1"/>
  </cols>
  <sheetData>
    <row r="1" spans="1:4" ht="15" customHeight="1" thickBot="1" x14ac:dyDescent="0.4">
      <c r="A1" s="18" t="str">
        <f>Início!C1</f>
        <v>Associado</v>
      </c>
      <c r="B1" s="114" t="str">
        <f>Início!E1</f>
        <v>Ag</v>
      </c>
      <c r="C1" s="18" t="str">
        <f>Início!F1</f>
        <v>Cedente</v>
      </c>
      <c r="D1" s="145" t="s">
        <v>12</v>
      </c>
    </row>
    <row r="2" spans="1:4" ht="15" customHeight="1" thickBot="1" x14ac:dyDescent="0.4">
      <c r="A2" s="112" t="str">
        <f>Início!C3</f>
        <v>TROPICAL PEIXARIA E PRODUTOS NATURAIS EIRELI</v>
      </c>
      <c r="B2" s="34" t="str">
        <f>Início!E3</f>
        <v>06</v>
      </c>
      <c r="C2" s="113" t="str">
        <f>Início!F3</f>
        <v>23811</v>
      </c>
      <c r="D2" s="146"/>
    </row>
    <row r="3" spans="1:4" ht="15" customHeight="1" thickBot="1" x14ac:dyDescent="0.4">
      <c r="A3" s="112" t="str">
        <f>Início!C4</f>
        <v>RAVENA DISTRIBUIDORA DE AUTO PECAS LTDA</v>
      </c>
      <c r="B3" s="34" t="str">
        <f>Início!E4</f>
        <v>21</v>
      </c>
      <c r="C3" s="113" t="str">
        <f>Início!F4</f>
        <v>00229</v>
      </c>
      <c r="D3" s="147"/>
    </row>
    <row r="4" spans="1:4" ht="15" customHeight="1" thickBot="1" x14ac:dyDescent="0.4">
      <c r="A4" s="112" t="str">
        <f>Início!C6</f>
        <v>R M DOS SANTOS INFORMATICA EIRELI</v>
      </c>
      <c r="B4" s="34" t="str">
        <f>Início!E6</f>
        <v>12</v>
      </c>
      <c r="C4" s="113" t="str">
        <f>Início!F6</f>
        <v>67674</v>
      </c>
      <c r="D4" s="147"/>
    </row>
    <row r="5" spans="1:4" ht="15" customHeight="1" thickBot="1" x14ac:dyDescent="0.4">
      <c r="A5" s="112" t="str">
        <f>Início!C8</f>
        <v>ELIANDRO DISTRIBUIDORA DE ALIMENTOS EIRELI</v>
      </c>
      <c r="B5" s="34" t="str">
        <f>Início!E8</f>
        <v>10</v>
      </c>
      <c r="C5" s="113" t="str">
        <f>Início!F8</f>
        <v>34934</v>
      </c>
      <c r="D5" s="147"/>
    </row>
    <row r="6" spans="1:4" ht="15" customHeight="1" thickBot="1" x14ac:dyDescent="0.4">
      <c r="A6" s="112" t="str">
        <f>Início!C9</f>
        <v>SPM COUROS LTDA</v>
      </c>
      <c r="B6" s="34" t="str">
        <f>Início!E9</f>
        <v>17</v>
      </c>
      <c r="C6" s="34" t="str">
        <f>Início!F9</f>
        <v>38973</v>
      </c>
      <c r="D6" s="147"/>
    </row>
    <row r="7" spans="1:4" ht="15" customHeight="1" thickBot="1" x14ac:dyDescent="0.4">
      <c r="A7" s="112" t="str">
        <f>Início!C10</f>
        <v>DIELAT INDUSTRIA E COMERCIO DE LATICINIOS LTDA</v>
      </c>
      <c r="B7" s="34" t="str">
        <f>Início!E10</f>
        <v>03</v>
      </c>
      <c r="C7" s="113" t="str">
        <f>Início!F10</f>
        <v>54639</v>
      </c>
      <c r="D7" s="147"/>
    </row>
    <row r="8" spans="1:4" ht="15" customHeight="1" thickBot="1" x14ac:dyDescent="0.4">
      <c r="A8" s="112" t="str">
        <f>Início!C11</f>
        <v>ROXO E SOUZA COMERCIO ATACADISTA LTDA</v>
      </c>
      <c r="B8" s="34" t="str">
        <f>Início!E11</f>
        <v>21</v>
      </c>
      <c r="C8" s="113" t="str">
        <f>Início!F11</f>
        <v>00242</v>
      </c>
      <c r="D8" s="147"/>
    </row>
    <row r="9" spans="1:4" ht="15" customHeight="1" thickBot="1" x14ac:dyDescent="0.4">
      <c r="A9" s="112" t="str">
        <f>Início!C12</f>
        <v>ROXO E SOUZA COMERCIO ATACADISTA LTDA</v>
      </c>
      <c r="B9" s="34" t="str">
        <f>Início!E12</f>
        <v>12</v>
      </c>
      <c r="C9" s="113" t="str">
        <f>Início!F12</f>
        <v>79861</v>
      </c>
      <c r="D9" s="147"/>
    </row>
    <row r="10" spans="1:4" ht="15" customHeight="1" thickBot="1" x14ac:dyDescent="0.4">
      <c r="A10" s="112" t="str">
        <f>Início!C13</f>
        <v>GIGA NET INFORMATICA LTDA</v>
      </c>
      <c r="B10" s="34" t="str">
        <f>Início!E13</f>
        <v>19</v>
      </c>
      <c r="C10" s="113" t="str">
        <f>Início!F13</f>
        <v>00089</v>
      </c>
      <c r="D10" s="147"/>
    </row>
    <row r="11" spans="1:4" ht="15" customHeight="1" thickBot="1" x14ac:dyDescent="0.4">
      <c r="A11" s="112" t="str">
        <f>Início!C16</f>
        <v>ASSOCIACAO DOS AMIGOS DA PRAIA DE TORRES</v>
      </c>
      <c r="B11" s="34" t="str">
        <f>Início!E16</f>
        <v>12</v>
      </c>
      <c r="C11" s="113" t="str">
        <f>Início!F16</f>
        <v>74845</v>
      </c>
      <c r="D11" s="147"/>
    </row>
    <row r="12" spans="1:4" ht="15" customHeight="1" thickBot="1" x14ac:dyDescent="0.4">
      <c r="A12" s="112" t="str">
        <f>Início!C17</f>
        <v>NETPAL TELECOM LTDA</v>
      </c>
      <c r="B12" s="34" t="str">
        <f>Início!E17</f>
        <v>11</v>
      </c>
      <c r="C12" s="113" t="str">
        <f>Início!F17</f>
        <v>35525</v>
      </c>
      <c r="D12" s="147"/>
    </row>
    <row r="13" spans="1:4" ht="15" customHeight="1" thickBot="1" x14ac:dyDescent="0.4">
      <c r="A13" s="112" t="str">
        <f>Início!C20</f>
        <v>ELEOMAR ALCIONE RAMOS CONSTRUCOES</v>
      </c>
      <c r="B13" s="34" t="str">
        <f>Início!E20</f>
        <v>19</v>
      </c>
      <c r="C13" s="113" t="str">
        <f>Início!F20</f>
        <v>94708</v>
      </c>
      <c r="D13" s="147"/>
    </row>
    <row r="14" spans="1:4" ht="15" customHeight="1" thickBot="1" x14ac:dyDescent="0.4">
      <c r="A14" s="112" t="str">
        <f>Início!C21</f>
        <v>CONDOMINIO RESERVA DAS AGUAS</v>
      </c>
      <c r="B14" s="34" t="str">
        <f>Início!E21</f>
        <v>12</v>
      </c>
      <c r="C14" s="113" t="str">
        <f>Início!F21</f>
        <v>02604</v>
      </c>
      <c r="D14" s="147"/>
    </row>
    <row r="15" spans="1:4" ht="15" customHeight="1" thickBot="1" x14ac:dyDescent="0.4">
      <c r="A15" s="112" t="str">
        <f>Início!C22</f>
        <v>LIZANDRA DA SILVA</v>
      </c>
      <c r="B15" s="34" t="str">
        <f>Início!E22</f>
        <v>21</v>
      </c>
      <c r="C15" s="113" t="str">
        <f>Início!F22</f>
        <v>00418</v>
      </c>
      <c r="D15" s="147"/>
    </row>
    <row r="16" spans="1:4" ht="15" customHeight="1" thickBot="1" x14ac:dyDescent="0.4">
      <c r="A16" s="112" t="s">
        <v>97</v>
      </c>
      <c r="B16" s="34" t="str">
        <f>Início!E23</f>
        <v>19</v>
      </c>
      <c r="C16" s="113" t="str">
        <f>Início!F23</f>
        <v>93653</v>
      </c>
      <c r="D16" s="147"/>
    </row>
    <row r="17" spans="1:4" ht="15" customHeight="1" thickBot="1" x14ac:dyDescent="0.4">
      <c r="A17" s="112" t="str">
        <f>Início!C24</f>
        <v>SEVERO E PRADO LTDA</v>
      </c>
      <c r="B17" s="34" t="str">
        <f>Início!E24</f>
        <v>14</v>
      </c>
      <c r="C17" s="113" t="str">
        <f>Início!F24</f>
        <v>74109</v>
      </c>
      <c r="D17" s="147"/>
    </row>
    <row r="18" spans="1:4" ht="15" customHeight="1" thickBot="1" x14ac:dyDescent="0.4">
      <c r="A18" s="112" t="str">
        <f>Início!C25</f>
        <v>POWERSERV SOLUCOES INTERNET LTDA</v>
      </c>
      <c r="B18" s="34" t="str">
        <f>Início!E25</f>
        <v>06</v>
      </c>
      <c r="C18" s="113" t="str">
        <f>Início!F25</f>
        <v>47867</v>
      </c>
      <c r="D18" s="147"/>
    </row>
    <row r="19" spans="1:4" ht="15" customHeight="1" thickBot="1" x14ac:dyDescent="0.4">
      <c r="A19" s="112" t="str">
        <f>Início!C26</f>
        <v>JUVESA VEICULOS LTDA</v>
      </c>
      <c r="B19" s="34" t="str">
        <f>Início!E26</f>
        <v>05</v>
      </c>
      <c r="C19" s="113" t="str">
        <f>Início!F26</f>
        <v>58191</v>
      </c>
      <c r="D19" s="147"/>
    </row>
    <row r="20" spans="1:4" ht="15" customHeight="1" thickBot="1" x14ac:dyDescent="0.4">
      <c r="A20" s="112" t="str">
        <f>Início!C28</f>
        <v>ARTESANATO CENTENARIO LTDA</v>
      </c>
      <c r="B20" s="34" t="str">
        <f>Início!E28</f>
        <v>12</v>
      </c>
      <c r="C20" s="113" t="str">
        <f>Início!F28</f>
        <v>94137</v>
      </c>
      <c r="D20" s="147"/>
    </row>
    <row r="21" spans="1:4" ht="15" customHeight="1" thickBot="1" x14ac:dyDescent="0.4">
      <c r="A21" s="112" t="str">
        <f>Início!C29</f>
        <v>TIAGO ROST NET</v>
      </c>
      <c r="B21" s="34" t="str">
        <f>Início!E29</f>
        <v>19</v>
      </c>
      <c r="C21" s="113" t="str">
        <f>Início!F29</f>
        <v>90890</v>
      </c>
    </row>
    <row r="22" spans="1:4" ht="15" customHeight="1" thickBot="1" x14ac:dyDescent="0.4">
      <c r="A22" s="112" t="str">
        <f>Início!C30</f>
        <v>AGUIA CONTABILIDADE EIRELI</v>
      </c>
      <c r="B22" s="34" t="str">
        <f>Início!E30</f>
        <v>12</v>
      </c>
      <c r="C22" s="113" t="str">
        <f>Início!F30</f>
        <v>68577</v>
      </c>
    </row>
    <row r="23" spans="1:4" ht="15" customHeight="1" thickBot="1" x14ac:dyDescent="0.4">
      <c r="A23" s="112" t="str">
        <f>Início!C31</f>
        <v xml:space="preserve">JOVIAL ABRASIVOS FABRICACAO DE ESCOVAS LTDA </v>
      </c>
      <c r="B23" s="34" t="str">
        <f>Início!E31</f>
        <v>19</v>
      </c>
      <c r="C23" s="113" t="str">
        <f>Início!F31</f>
        <v>52519</v>
      </c>
    </row>
    <row r="24" spans="1:4" ht="15" customHeight="1" thickBot="1" x14ac:dyDescent="0.4">
      <c r="A24" s="112" t="str">
        <f>Início!C32</f>
        <v>EMPRESA DE SEGURANCA PINHAL LTDA</v>
      </c>
      <c r="B24" s="34" t="str">
        <f>Início!E32</f>
        <v>18</v>
      </c>
      <c r="C24" s="113" t="str">
        <f>Início!F32</f>
        <v>04185</v>
      </c>
      <c r="D24" s="149"/>
    </row>
    <row r="25" spans="1:4" ht="15" customHeight="1" thickBot="1" x14ac:dyDescent="0.4">
      <c r="A25" s="112" t="str">
        <f>Início!C33</f>
        <v>LUGON IMOVEIS LTDA</v>
      </c>
      <c r="B25" s="34" t="str">
        <f>Início!E33</f>
        <v>12</v>
      </c>
      <c r="C25" s="113" t="str">
        <f>Início!F33</f>
        <v>00273</v>
      </c>
      <c r="D25" s="149"/>
    </row>
    <row r="26" spans="1:4" ht="15" customHeight="1" thickBot="1" x14ac:dyDescent="0.4">
      <c r="A26" s="112" t="str">
        <f>Início!C34</f>
        <v>STIER BIER INDUSTRIA E COMERCIO DE BEBIDAS LTDA</v>
      </c>
      <c r="B26" s="34" t="str">
        <f>Início!E34</f>
        <v>17</v>
      </c>
      <c r="C26" s="113" t="str">
        <f>Início!F34</f>
        <v>22915</v>
      </c>
      <c r="D26" s="149"/>
    </row>
    <row r="27" spans="1:4" ht="15" customHeight="1" thickBot="1" x14ac:dyDescent="0.4">
      <c r="A27" s="112" t="str">
        <f>Início!C35</f>
        <v>RUMO CERTO AGROCOMERCIAL LTDA</v>
      </c>
      <c r="B27" s="34" t="str">
        <f>Início!E35</f>
        <v>18</v>
      </c>
      <c r="C27" s="113" t="str">
        <f>Início!F35</f>
        <v>86383</v>
      </c>
      <c r="D27" s="150"/>
    </row>
    <row r="28" spans="1:4" ht="15" customHeight="1" thickBot="1" x14ac:dyDescent="0.4">
      <c r="A28" s="112" t="str">
        <f>Início!C36</f>
        <v>RUTSATZ COMERCIO E REDE DE ENSINO LTDA</v>
      </c>
      <c r="B28" s="34" t="str">
        <f>Início!E36</f>
        <v>14</v>
      </c>
      <c r="C28" s="113" t="str">
        <f>Início!F36</f>
        <v>78439</v>
      </c>
      <c r="D28" s="150"/>
    </row>
    <row r="29" spans="1:4" ht="15" customHeight="1" thickBot="1" x14ac:dyDescent="0.4">
      <c r="A29" s="112" t="str">
        <f>Início!C37</f>
        <v>CONDOMINIO RESIDENCIAL BELLVILLE</v>
      </c>
      <c r="B29" s="34" t="str">
        <f>Início!E37</f>
        <v>05</v>
      </c>
      <c r="C29" s="113" t="str">
        <f>Início!F37</f>
        <v>84874</v>
      </c>
    </row>
    <row r="30" spans="1:4" ht="15" thickBot="1" x14ac:dyDescent="0.4">
      <c r="A30" s="112" t="str">
        <f>Início!C38</f>
        <v>CONDOMINIO HORIZONTAL MARITIMO</v>
      </c>
      <c r="B30" s="34" t="str">
        <f>Início!E38</f>
        <v>20</v>
      </c>
      <c r="C30" s="113" t="str">
        <f>Início!F38</f>
        <v>80868</v>
      </c>
      <c r="D30" s="149"/>
    </row>
    <row r="31" spans="1:4" ht="15" thickBot="1" x14ac:dyDescent="0.4">
      <c r="A31" s="112" t="str">
        <f>Início!C39</f>
        <v>RESIDENCIAL ANA JULIA</v>
      </c>
      <c r="B31" s="34" t="str">
        <f>Início!E39</f>
        <v>03</v>
      </c>
      <c r="C31" s="113">
        <f>Início!F39</f>
        <v>89181</v>
      </c>
    </row>
    <row r="32" spans="1:4" ht="15" thickBot="1" x14ac:dyDescent="0.4">
      <c r="A32" s="112" t="str">
        <f>Início!C40</f>
        <v>EVEN TELECOM LTDA</v>
      </c>
      <c r="B32" s="34">
        <f>Início!E40</f>
        <v>15</v>
      </c>
      <c r="C32" s="113">
        <f>Início!F40</f>
        <v>83158</v>
      </c>
    </row>
    <row r="33" spans="1:3" ht="15" thickBot="1" x14ac:dyDescent="0.4">
      <c r="A33" s="112" t="str">
        <f>Início!C41</f>
        <v>SANVITRON CONTROLE E AUTOMACAO EIRELI</v>
      </c>
      <c r="B33" s="34" t="str">
        <f>Início!E41</f>
        <v>13</v>
      </c>
      <c r="C33" s="113" t="str">
        <f>Início!F41</f>
        <v>70317</v>
      </c>
    </row>
    <row r="34" spans="1:3" x14ac:dyDescent="0.35">
      <c r="A34" s="112" t="str">
        <f>Início!C42</f>
        <v>RCI TELECOMUNICACOES LTD</v>
      </c>
      <c r="B34" s="34" t="str">
        <f>Início!E42</f>
        <v>13</v>
      </c>
      <c r="C34" s="113" t="str">
        <f>Início!F42</f>
        <v>84902</v>
      </c>
    </row>
  </sheetData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26392-49A9-4617-9A9A-B1D876A11161}">
  <sheetPr codeName="Planilha4"/>
  <dimension ref="A1:E37"/>
  <sheetViews>
    <sheetView topLeftCell="A25" workbookViewId="0">
      <selection activeCell="A32" sqref="A32:B33"/>
    </sheetView>
  </sheetViews>
  <sheetFormatPr defaultRowHeight="14.5" x14ac:dyDescent="0.35"/>
  <cols>
    <col min="1" max="1" width="46.08984375" style="2" bestFit="1" customWidth="1"/>
    <col min="2" max="2" width="14.54296875" style="116" bestFit="1" customWidth="1"/>
    <col min="3" max="3" width="35.90625" style="148" customWidth="1"/>
  </cols>
  <sheetData>
    <row r="1" spans="1:5" ht="15" customHeight="1" thickBot="1" x14ac:dyDescent="0.4">
      <c r="A1" s="18" t="str">
        <f>Início!C1</f>
        <v>Associado</v>
      </c>
      <c r="B1" s="18" t="str">
        <f>Início!G1</f>
        <v>Conta Vinculada</v>
      </c>
      <c r="C1" s="151" t="s">
        <v>179</v>
      </c>
    </row>
    <row r="2" spans="1:5" ht="15" customHeight="1" thickBot="1" x14ac:dyDescent="0.4">
      <c r="A2" s="112" t="str">
        <f>Início!C2</f>
        <v>FRANCK F MULLER SUPERMERCADO EIRELI</v>
      </c>
      <c r="B2" s="113" t="str">
        <f>Início!G2</f>
        <v>17697-6</v>
      </c>
      <c r="C2" s="154"/>
    </row>
    <row r="3" spans="1:5" ht="15" customHeight="1" thickBot="1" x14ac:dyDescent="0.4">
      <c r="A3" s="112" t="str">
        <f>Início!C3</f>
        <v>TROPICAL PEIXARIA E PRODUTOS NATURAIS EIRELI</v>
      </c>
      <c r="B3" s="113" t="str">
        <f>Início!G3</f>
        <v>76259-3</v>
      </c>
      <c r="C3" s="154"/>
    </row>
    <row r="4" spans="1:5" ht="15" customHeight="1" thickBot="1" x14ac:dyDescent="0.4">
      <c r="A4" s="112" t="str">
        <f>Início!C4</f>
        <v>RAVENA DISTRIBUIDORA DE AUTO PECAS LTDA</v>
      </c>
      <c r="B4" s="113" t="str">
        <f>Início!G4</f>
        <v>47283-7</v>
      </c>
      <c r="C4" s="154"/>
      <c r="E4" s="118"/>
    </row>
    <row r="5" spans="1:5" ht="15" customHeight="1" thickBot="1" x14ac:dyDescent="0.4">
      <c r="A5" s="112" t="str">
        <f>Início!C6</f>
        <v>R M DOS SANTOS INFORMATICA EIRELI</v>
      </c>
      <c r="B5" s="113" t="str">
        <f>Início!G6</f>
        <v>89261-0</v>
      </c>
      <c r="C5" s="154"/>
      <c r="E5" s="119"/>
    </row>
    <row r="6" spans="1:5" ht="15" customHeight="1" thickBot="1" x14ac:dyDescent="0.4">
      <c r="A6" s="112" t="str">
        <f>Início!C8</f>
        <v>ELIANDRO DISTRIBUIDORA DE ALIMENTOS EIRELI</v>
      </c>
      <c r="B6" s="113" t="str">
        <f>Início!G8</f>
        <v>13478-4</v>
      </c>
    </row>
    <row r="7" spans="1:5" ht="15" customHeight="1" thickBot="1" x14ac:dyDescent="0.4">
      <c r="A7" s="112" t="str">
        <f>Início!C9</f>
        <v>SPM COUROS LTDA</v>
      </c>
      <c r="B7" s="113" t="str">
        <f>Início!G9</f>
        <v>67329-5</v>
      </c>
      <c r="C7" s="149"/>
    </row>
    <row r="8" spans="1:5" ht="15" customHeight="1" thickBot="1" x14ac:dyDescent="0.4">
      <c r="A8" s="112" t="str">
        <f>Início!C10</f>
        <v>DIELAT INDUSTRIA E COMERCIO DE LATICINIOS LTDA</v>
      </c>
      <c r="B8" s="113" t="str">
        <f>Início!G10</f>
        <v>83202-2</v>
      </c>
      <c r="C8" s="154"/>
    </row>
    <row r="9" spans="1:5" ht="15" customHeight="1" thickBot="1" x14ac:dyDescent="0.4">
      <c r="A9" s="112" t="str">
        <f>Início!C11</f>
        <v>ROXO E SOUZA COMERCIO ATACADISTA LTDA</v>
      </c>
      <c r="B9" s="113" t="str">
        <f>Início!G11</f>
        <v>87415-9</v>
      </c>
      <c r="C9" s="154"/>
    </row>
    <row r="10" spans="1:5" ht="15" customHeight="1" thickBot="1" x14ac:dyDescent="0.4">
      <c r="A10" s="112" t="str">
        <f>Início!C13</f>
        <v>GIGA NET INFORMATICA LTDA</v>
      </c>
      <c r="B10" s="113" t="str">
        <f>Início!G13</f>
        <v>83228-6</v>
      </c>
      <c r="C10" s="154"/>
    </row>
    <row r="11" spans="1:5" ht="15" customHeight="1" thickBot="1" x14ac:dyDescent="0.4">
      <c r="A11" s="112" t="str">
        <f>Início!C16</f>
        <v>ASSOCIACAO DOS AMIGOS DA PRAIA DE TORRES</v>
      </c>
      <c r="B11" s="113" t="str">
        <f>Início!G16</f>
        <v>05300-9</v>
      </c>
      <c r="C11" s="154"/>
    </row>
    <row r="12" spans="1:5" ht="15" customHeight="1" thickBot="1" x14ac:dyDescent="0.4">
      <c r="A12" s="112" t="str">
        <f>Início!C17</f>
        <v>NETPAL TELECOM LTDA</v>
      </c>
      <c r="B12" s="113" t="str">
        <f>Início!G17</f>
        <v>07967-5</v>
      </c>
      <c r="C12" s="154"/>
    </row>
    <row r="13" spans="1:5" ht="15" customHeight="1" thickBot="1" x14ac:dyDescent="0.4">
      <c r="A13" s="112" t="str">
        <f>Início!C20</f>
        <v>ELEOMAR ALCIONE RAMOS CONSTRUCOES</v>
      </c>
      <c r="B13" s="113" t="str">
        <f>Início!G20</f>
        <v>09771-8</v>
      </c>
      <c r="C13" s="149"/>
    </row>
    <row r="14" spans="1:5" ht="15" customHeight="1" thickBot="1" x14ac:dyDescent="0.4">
      <c r="A14" s="112" t="str">
        <f>Início!C21</f>
        <v>CONDOMINIO RESERVA DAS AGUAS</v>
      </c>
      <c r="B14" s="113" t="str">
        <f>Início!G21</f>
        <v>09302-1</v>
      </c>
      <c r="C14" s="154"/>
    </row>
    <row r="15" spans="1:5" ht="15" customHeight="1" thickBot="1" x14ac:dyDescent="0.4">
      <c r="A15" s="112" t="str">
        <f>Início!C22</f>
        <v>LIZANDRA DA SILVA</v>
      </c>
      <c r="B15" s="113" t="str">
        <f>Início!G22</f>
        <v>19562-9</v>
      </c>
      <c r="C15" s="154"/>
    </row>
    <row r="16" spans="1:5" ht="15" customHeight="1" thickBot="1" x14ac:dyDescent="0.4">
      <c r="A16" s="112" t="str">
        <f>Início!C24</f>
        <v>SEVERO E PRADO LTDA</v>
      </c>
      <c r="B16" s="113" t="str">
        <f>Início!G24</f>
        <v>16681-0</v>
      </c>
      <c r="C16" s="154"/>
    </row>
    <row r="17" spans="1:3" ht="15" customHeight="1" thickBot="1" x14ac:dyDescent="0.4">
      <c r="A17" s="112" t="str">
        <f>Início!C25</f>
        <v>POWERSERV SOLUCOES INTERNET LTDA</v>
      </c>
      <c r="B17" s="113" t="str">
        <f>Início!G25</f>
        <v>26983-8</v>
      </c>
      <c r="C17" s="154"/>
    </row>
    <row r="18" spans="1:3" ht="15" customHeight="1" thickBot="1" x14ac:dyDescent="0.4">
      <c r="A18" s="112" t="str">
        <f>Início!C26</f>
        <v>JUVESA VEICULOS LTDA</v>
      </c>
      <c r="B18" s="113" t="str">
        <f>Início!G26</f>
        <v>30853-7</v>
      </c>
      <c r="C18" s="154"/>
    </row>
    <row r="19" spans="1:3" ht="15" customHeight="1" thickBot="1" x14ac:dyDescent="0.4">
      <c r="A19" s="112" t="str">
        <f>Início!C28</f>
        <v>ARTESANATO CENTENARIO LTDA</v>
      </c>
      <c r="B19" s="113" t="str">
        <f>Início!G28</f>
        <v>34678-5</v>
      </c>
      <c r="C19" s="154"/>
    </row>
    <row r="20" spans="1:3" ht="15" customHeight="1" thickBot="1" x14ac:dyDescent="0.4">
      <c r="A20" s="112" t="str">
        <f>Início!C29</f>
        <v>TIAGO ROST NET</v>
      </c>
      <c r="B20" s="113" t="str">
        <f>Início!G29</f>
        <v>43088-5</v>
      </c>
      <c r="C20" s="154"/>
    </row>
    <row r="21" spans="1:3" ht="15" customHeight="1" thickBot="1" x14ac:dyDescent="0.4">
      <c r="A21" s="112" t="str">
        <f>Início!C30</f>
        <v>AGUIA CONTABILIDADE EIRELI</v>
      </c>
      <c r="B21" s="113" t="str">
        <f>Início!G30</f>
        <v>66850-1</v>
      </c>
      <c r="C21" s="154"/>
    </row>
    <row r="22" spans="1:3" ht="15" customHeight="1" thickBot="1" x14ac:dyDescent="0.4">
      <c r="A22" s="112" t="str">
        <f>Início!C31</f>
        <v xml:space="preserve">JOVIAL ABRASIVOS FABRICACAO DE ESCOVAS LTDA </v>
      </c>
      <c r="B22" s="113" t="str">
        <f>Início!G31</f>
        <v>68706-4</v>
      </c>
      <c r="C22" s="154"/>
    </row>
    <row r="23" spans="1:3" ht="15" customHeight="1" thickBot="1" x14ac:dyDescent="0.4">
      <c r="A23" s="112" t="str">
        <f>Início!C32</f>
        <v>EMPRESA DE SEGURANCA PINHAL LTDA</v>
      </c>
      <c r="B23" s="113" t="str">
        <f>Início!G32</f>
        <v>69047-1</v>
      </c>
      <c r="C23" s="154"/>
    </row>
    <row r="24" spans="1:3" ht="15" customHeight="1" thickBot="1" x14ac:dyDescent="0.4">
      <c r="A24" s="112" t="str">
        <f>Início!C33</f>
        <v>LUGON IMOVEIS LTDA</v>
      </c>
      <c r="B24" s="113" t="str">
        <f>Início!G33</f>
        <v>77900-1</v>
      </c>
      <c r="C24" s="154"/>
    </row>
    <row r="25" spans="1:3" ht="15" customHeight="1" thickBot="1" x14ac:dyDescent="0.4">
      <c r="A25" s="112" t="str">
        <f>Início!C34</f>
        <v>STIER BIER INDUSTRIA E COMERCIO DE BEBIDAS LTDA</v>
      </c>
      <c r="B25" s="113" t="str">
        <f>Início!G34</f>
        <v>89202-7</v>
      </c>
      <c r="C25" s="154"/>
    </row>
    <row r="26" spans="1:3" ht="15" customHeight="1" thickBot="1" x14ac:dyDescent="0.4">
      <c r="A26" s="112" t="str">
        <f>Início!C35</f>
        <v>RUMO CERTO AGROCOMERCIAL LTDA</v>
      </c>
      <c r="B26" s="113" t="str">
        <f>Início!G35</f>
        <v>94699-9</v>
      </c>
      <c r="C26" s="154"/>
    </row>
    <row r="27" spans="1:3" ht="15" customHeight="1" thickBot="1" x14ac:dyDescent="0.4">
      <c r="A27" s="112" t="str">
        <f>Início!C36</f>
        <v>RUTSATZ COMERCIO E REDE DE ENSINO LTDA</v>
      </c>
      <c r="B27" s="113" t="str">
        <f>Início!G36</f>
        <v>81562-3</v>
      </c>
      <c r="C27" s="154"/>
    </row>
    <row r="28" spans="1:3" ht="15" customHeight="1" thickBot="1" x14ac:dyDescent="0.4">
      <c r="A28" s="112" t="str">
        <f>Início!C37</f>
        <v>CONDOMINIO RESIDENCIAL BELLVILLE</v>
      </c>
      <c r="B28" s="113" t="str">
        <f>Início!G37</f>
        <v>85221-1</v>
      </c>
      <c r="C28" s="154"/>
    </row>
    <row r="29" spans="1:3" ht="15" customHeight="1" thickBot="1" x14ac:dyDescent="0.4">
      <c r="A29" s="112" t="str">
        <f>Início!C38</f>
        <v>CONDOMINIO HORIZONTAL MARITIMO</v>
      </c>
      <c r="B29" s="113" t="str">
        <f>Início!G38</f>
        <v>88265-6</v>
      </c>
      <c r="C29" s="154"/>
    </row>
    <row r="30" spans="1:3" ht="15" customHeight="1" thickBot="1" x14ac:dyDescent="0.4">
      <c r="A30" s="112" t="str">
        <f>Início!C39</f>
        <v>RESIDENCIAL ANA JULIA</v>
      </c>
      <c r="B30" s="113" t="str">
        <f>Início!G39</f>
        <v>89191-2</v>
      </c>
      <c r="C30" s="155"/>
    </row>
    <row r="31" spans="1:3" ht="15" customHeight="1" thickBot="1" x14ac:dyDescent="0.4">
      <c r="A31" s="112" t="str">
        <f>Início!C40</f>
        <v>EVEN TELECOM LTDA</v>
      </c>
      <c r="B31" s="113" t="str">
        <f>Início!G40</f>
        <v>98194-5</v>
      </c>
      <c r="C31" s="156"/>
    </row>
    <row r="32" spans="1:3" ht="15" customHeight="1" thickBot="1" x14ac:dyDescent="0.4">
      <c r="A32" s="112" t="str">
        <f>Início!C41</f>
        <v>SANVITRON CONTROLE E AUTOMACAO EIRELI</v>
      </c>
      <c r="B32" s="113" t="str">
        <f>Início!G41</f>
        <v>00061-7</v>
      </c>
      <c r="C32" s="156"/>
    </row>
    <row r="33" spans="1:3" ht="15" customHeight="1" thickBot="1" x14ac:dyDescent="0.4">
      <c r="A33" s="112" t="str">
        <f>Início!C42</f>
        <v>RCI TELECOMUNICACOES LTD</v>
      </c>
      <c r="B33" s="113" t="str">
        <f>Início!G42</f>
        <v>00149-2</v>
      </c>
      <c r="C33" s="156"/>
    </row>
    <row r="34" spans="1:3" ht="15" customHeight="1" thickBot="1" x14ac:dyDescent="0.4">
      <c r="A34" s="112"/>
      <c r="B34" s="113"/>
      <c r="C34" s="156"/>
    </row>
    <row r="35" spans="1:3" ht="15" customHeight="1" thickBot="1" x14ac:dyDescent="0.4">
      <c r="A35" s="112"/>
      <c r="B35" s="113"/>
      <c r="C35" s="156"/>
    </row>
    <row r="36" spans="1:3" ht="15" customHeight="1" thickBot="1" x14ac:dyDescent="0.4">
      <c r="A36" s="112"/>
      <c r="B36" s="113"/>
      <c r="C36" s="156"/>
    </row>
    <row r="37" spans="1:3" x14ac:dyDescent="0.35">
      <c r="B37" s="113"/>
    </row>
  </sheetData>
  <conditionalFormatting sqref="C7:C1048576">
    <cfRule type="duplicateValues" dxfId="1" priority="1"/>
  </conditionalFormatting>
  <conditionalFormatting sqref="C1:C5">
    <cfRule type="duplicateValues" dxfId="0" priority="2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3EDD-804A-427A-8D4E-584502970196}">
  <sheetPr codeName="Planilha5"/>
  <dimension ref="A1:F33"/>
  <sheetViews>
    <sheetView tabSelected="1" topLeftCell="A24" workbookViewId="0">
      <selection activeCell="D2" sqref="D2:D33"/>
    </sheetView>
  </sheetViews>
  <sheetFormatPr defaultRowHeight="14.5" x14ac:dyDescent="0.35"/>
  <cols>
    <col min="1" max="1" width="46.08984375" style="2" bestFit="1" customWidth="1"/>
    <col min="2" max="2" width="14.54296875" style="116" bestFit="1" customWidth="1"/>
    <col min="3" max="3" width="13.81640625" style="116" bestFit="1" customWidth="1"/>
    <col min="4" max="4" width="14.90625" style="117" bestFit="1" customWidth="1"/>
    <col min="5" max="5" width="18.08984375" style="2" bestFit="1" customWidth="1"/>
  </cols>
  <sheetData>
    <row r="1" spans="1:6" ht="15" customHeight="1" thickBot="1" x14ac:dyDescent="0.4">
      <c r="A1" s="18" t="str">
        <f>Início!C1</f>
        <v>Associado</v>
      </c>
      <c r="B1" s="18" t="str">
        <f>Início!G1</f>
        <v>Conta Vinculada</v>
      </c>
      <c r="C1" s="18" t="str">
        <f>Início!H1</f>
        <v>Conta Corrente</v>
      </c>
      <c r="D1" s="114" t="s">
        <v>180</v>
      </c>
      <c r="E1" s="18" t="s">
        <v>181</v>
      </c>
    </row>
    <row r="2" spans="1:6" ht="15" customHeight="1" thickBot="1" x14ac:dyDescent="0.4">
      <c r="A2" s="112" t="str">
        <f>Início!C2</f>
        <v>FRANCK F MULLER SUPERMERCADO EIRELI</v>
      </c>
      <c r="B2" s="113" t="str">
        <f>Início!G2</f>
        <v>17697-6</v>
      </c>
      <c r="C2" s="113" t="str">
        <f>Início!H2</f>
        <v>17342-7</v>
      </c>
      <c r="D2" s="117" t="s">
        <v>225</v>
      </c>
      <c r="E2" s="2" t="s">
        <v>226</v>
      </c>
      <c r="F2" s="2">
        <f>VLOOKUP(B2,Início!G:R,11,FALSE)</f>
        <v>0</v>
      </c>
    </row>
    <row r="3" spans="1:6" ht="15" customHeight="1" thickBot="1" x14ac:dyDescent="0.4">
      <c r="A3" s="112" t="str">
        <f>Início!C3</f>
        <v>TROPICAL PEIXARIA E PRODUTOS NATURAIS EIRELI</v>
      </c>
      <c r="B3" s="113" t="str">
        <f>Início!G3</f>
        <v>76259-3</v>
      </c>
      <c r="C3" s="113" t="str">
        <f>Início!H3</f>
        <v>23811-2</v>
      </c>
      <c r="D3" s="117" t="s">
        <v>225</v>
      </c>
      <c r="E3" s="2" t="s">
        <v>226</v>
      </c>
      <c r="F3" s="2">
        <f>VLOOKUP(B3,Início!G:R,11,FALSE)</f>
        <v>0</v>
      </c>
    </row>
    <row r="4" spans="1:6" ht="15" customHeight="1" thickBot="1" x14ac:dyDescent="0.4">
      <c r="A4" s="112" t="str">
        <f>Início!C4</f>
        <v>RAVENA DISTRIBUIDORA DE AUTO PECAS LTDA</v>
      </c>
      <c r="B4" s="113" t="str">
        <f>Início!G4</f>
        <v>47283-7</v>
      </c>
      <c r="C4" s="113" t="str">
        <f>Início!H4</f>
        <v>00866-6</v>
      </c>
      <c r="D4" s="117" t="s">
        <v>225</v>
      </c>
      <c r="E4" s="2" t="s">
        <v>226</v>
      </c>
      <c r="F4" s="2">
        <f>VLOOKUP(B4,Início!G:R,11,FALSE)</f>
        <v>0</v>
      </c>
    </row>
    <row r="5" spans="1:6" ht="15" customHeight="1" thickBot="1" x14ac:dyDescent="0.4">
      <c r="A5" s="112" t="str">
        <f>Início!C6</f>
        <v>R M DOS SANTOS INFORMATICA EIRELI</v>
      </c>
      <c r="B5" s="113" t="str">
        <f>Início!G6</f>
        <v>89261-0</v>
      </c>
      <c r="C5" s="113" t="str">
        <f>Início!H6</f>
        <v>67674-8</v>
      </c>
      <c r="D5" s="117" t="s">
        <v>225</v>
      </c>
      <c r="E5" s="2" t="s">
        <v>226</v>
      </c>
      <c r="F5" s="2">
        <f>VLOOKUP(B5,Início!G:R,11,FALSE)</f>
        <v>0</v>
      </c>
    </row>
    <row r="6" spans="1:6" ht="15" customHeight="1" thickBot="1" x14ac:dyDescent="0.4">
      <c r="A6" s="112" t="str">
        <f>Início!C8</f>
        <v>ELIANDRO DISTRIBUIDORA DE ALIMENTOS EIRELI</v>
      </c>
      <c r="B6" s="113" t="str">
        <f>Início!G8</f>
        <v>13478-4</v>
      </c>
      <c r="C6" s="113" t="str">
        <f>Início!H8</f>
        <v>34934-8</v>
      </c>
      <c r="D6" s="117" t="s">
        <v>225</v>
      </c>
      <c r="E6" s="2" t="s">
        <v>226</v>
      </c>
      <c r="F6" s="2">
        <f>VLOOKUP(B6,Início!G:R,11,FALSE)</f>
        <v>0</v>
      </c>
    </row>
    <row r="7" spans="1:6" ht="15" customHeight="1" thickBot="1" x14ac:dyDescent="0.4">
      <c r="A7" s="112" t="str">
        <f>Início!C9</f>
        <v>SPM COUROS LTDA</v>
      </c>
      <c r="B7" s="113" t="str">
        <f>Início!G9</f>
        <v>67329-5</v>
      </c>
      <c r="C7" s="113" t="str">
        <f>Início!H9</f>
        <v>38973-0</v>
      </c>
      <c r="D7" s="117" t="s">
        <v>225</v>
      </c>
      <c r="E7" s="2" t="s">
        <v>226</v>
      </c>
      <c r="F7" s="2">
        <f>VLOOKUP(B7,Início!G:R,11,FALSE)</f>
        <v>0</v>
      </c>
    </row>
    <row r="8" spans="1:6" ht="15" customHeight="1" thickBot="1" x14ac:dyDescent="0.4">
      <c r="A8" s="112" t="str">
        <f>Início!C10</f>
        <v>DIELAT INDUSTRIA E COMERCIO DE LATICINIOS LTDA</v>
      </c>
      <c r="B8" s="113" t="str">
        <f>Início!G10</f>
        <v>83202-2</v>
      </c>
      <c r="C8" s="113" t="str">
        <f>Início!H10</f>
        <v>54639-9</v>
      </c>
      <c r="D8" s="117" t="s">
        <v>225</v>
      </c>
      <c r="E8" s="2" t="s">
        <v>226</v>
      </c>
      <c r="F8" s="2">
        <f>VLOOKUP(B8,Início!G:R,11,FALSE)</f>
        <v>0</v>
      </c>
    </row>
    <row r="9" spans="1:6" ht="15" customHeight="1" thickBot="1" x14ac:dyDescent="0.4">
      <c r="A9" s="112" t="str">
        <f>Início!C11</f>
        <v>ROXO E SOUZA COMERCIO ATACADISTA LTDA</v>
      </c>
      <c r="B9" s="113" t="str">
        <f>Início!G11</f>
        <v>87415-9</v>
      </c>
      <c r="C9" s="113" t="str">
        <f>Início!H11</f>
        <v>79861-4</v>
      </c>
      <c r="D9" s="117" t="s">
        <v>225</v>
      </c>
      <c r="E9" s="2" t="s">
        <v>226</v>
      </c>
      <c r="F9" s="2">
        <f>VLOOKUP(B9,Início!G:R,11,FALSE)</f>
        <v>0</v>
      </c>
    </row>
    <row r="10" spans="1:6" ht="15" customHeight="1" thickBot="1" x14ac:dyDescent="0.4">
      <c r="A10" s="112" t="str">
        <f>Início!C13</f>
        <v>GIGA NET INFORMATICA LTDA</v>
      </c>
      <c r="B10" s="113" t="str">
        <f>Início!G13</f>
        <v>83228-6</v>
      </c>
      <c r="C10" s="113" t="str">
        <f>Início!H13</f>
        <v>78169-0</v>
      </c>
      <c r="D10" s="117" t="s">
        <v>225</v>
      </c>
      <c r="E10" s="2" t="s">
        <v>226</v>
      </c>
      <c r="F10" s="2">
        <f>VLOOKUP(B10,Início!G:R,11,FALSE)</f>
        <v>0</v>
      </c>
    </row>
    <row r="11" spans="1:6" ht="15" customHeight="1" thickBot="1" x14ac:dyDescent="0.4">
      <c r="A11" s="112" t="str">
        <f>Início!C16</f>
        <v>ASSOCIACAO DOS AMIGOS DA PRAIA DE TORRES</v>
      </c>
      <c r="B11" s="113" t="str">
        <f>Início!G16</f>
        <v>05300-9</v>
      </c>
      <c r="C11" s="113" t="str">
        <f>Início!H16</f>
        <v>74845-5</v>
      </c>
      <c r="D11" s="117" t="s">
        <v>225</v>
      </c>
      <c r="E11" s="2" t="s">
        <v>226</v>
      </c>
      <c r="F11" s="2">
        <f>VLOOKUP(B11,Início!G:R,11,FALSE)</f>
        <v>0</v>
      </c>
    </row>
    <row r="12" spans="1:6" ht="15" customHeight="1" thickBot="1" x14ac:dyDescent="0.4">
      <c r="A12" s="112" t="str">
        <f>Início!C17</f>
        <v>NETPAL TELECOM LTDA</v>
      </c>
      <c r="B12" s="113" t="str">
        <f>Início!G17</f>
        <v>07967-5</v>
      </c>
      <c r="C12" s="113" t="str">
        <f>Início!H17</f>
        <v>35525-9</v>
      </c>
      <c r="D12" s="117" t="s">
        <v>225</v>
      </c>
      <c r="E12" s="2" t="s">
        <v>226</v>
      </c>
      <c r="F12" s="2">
        <f>VLOOKUP(B12,Início!G:R,11,FALSE)</f>
        <v>0</v>
      </c>
    </row>
    <row r="13" spans="1:6" ht="15" customHeight="1" thickBot="1" x14ac:dyDescent="0.4">
      <c r="A13" s="112" t="str">
        <f>Início!C20</f>
        <v>ELEOMAR ALCIONE RAMOS CONSTRUCOES</v>
      </c>
      <c r="B13" s="113" t="str">
        <f>Início!G20</f>
        <v>09771-8</v>
      </c>
      <c r="C13" s="113" t="str">
        <f>Início!H20</f>
        <v>94708-3</v>
      </c>
      <c r="D13" s="117" t="s">
        <v>225</v>
      </c>
      <c r="E13" s="2" t="s">
        <v>226</v>
      </c>
      <c r="F13" s="2">
        <f>VLOOKUP(B13,Início!G:R,11,FALSE)</f>
        <v>0</v>
      </c>
    </row>
    <row r="14" spans="1:6" ht="15" customHeight="1" thickBot="1" x14ac:dyDescent="0.4">
      <c r="A14" s="112" t="str">
        <f>Início!C21</f>
        <v>CONDOMINIO RESERVA DAS AGUAS</v>
      </c>
      <c r="B14" s="113" t="str">
        <f>Início!G21</f>
        <v>09302-1</v>
      </c>
      <c r="C14" s="113" t="str">
        <f>Início!H21</f>
        <v>02604-8</v>
      </c>
      <c r="D14" s="117" t="s">
        <v>225</v>
      </c>
      <c r="E14" s="2" t="s">
        <v>226</v>
      </c>
      <c r="F14" s="2">
        <f>VLOOKUP(B14,Início!G:R,11,FALSE)</f>
        <v>0</v>
      </c>
    </row>
    <row r="15" spans="1:6" ht="15" customHeight="1" thickBot="1" x14ac:dyDescent="0.4">
      <c r="A15" s="112" t="str">
        <f>Início!C22</f>
        <v>LIZANDRA DA SILVA</v>
      </c>
      <c r="B15" s="113" t="str">
        <f>Início!G22</f>
        <v>19562-9</v>
      </c>
      <c r="C15" s="113" t="str">
        <f>Início!H22</f>
        <v>93653-7</v>
      </c>
      <c r="D15" s="117" t="s">
        <v>225</v>
      </c>
      <c r="E15" s="2" t="s">
        <v>226</v>
      </c>
      <c r="F15" s="2">
        <f>VLOOKUP(B15,Início!G:R,11,FALSE)</f>
        <v>0</v>
      </c>
    </row>
    <row r="16" spans="1:6" ht="15" customHeight="1" thickBot="1" x14ac:dyDescent="0.4">
      <c r="A16" s="112" t="str">
        <f>Início!C24</f>
        <v>SEVERO E PRADO LTDA</v>
      </c>
      <c r="B16" s="113" t="str">
        <f>Início!G24</f>
        <v>16681-0</v>
      </c>
      <c r="C16" s="113" t="str">
        <f>Início!H24</f>
        <v>74109-4</v>
      </c>
      <c r="D16" s="117" t="s">
        <v>225</v>
      </c>
      <c r="E16" s="2" t="s">
        <v>226</v>
      </c>
      <c r="F16" s="2">
        <f>VLOOKUP(B16,Início!G:R,11,FALSE)</f>
        <v>0</v>
      </c>
    </row>
    <row r="17" spans="1:6" ht="15" customHeight="1" thickBot="1" x14ac:dyDescent="0.4">
      <c r="A17" s="112" t="str">
        <f>Início!C25</f>
        <v>POWERSERV SOLUCOES INTERNET LTDA</v>
      </c>
      <c r="B17" s="113" t="str">
        <f>Início!G25</f>
        <v>26983-8</v>
      </c>
      <c r="C17" s="113" t="str">
        <f>Início!H25</f>
        <v>47867-9</v>
      </c>
      <c r="D17" s="117" t="s">
        <v>225</v>
      </c>
      <c r="E17" s="2" t="s">
        <v>226</v>
      </c>
      <c r="F17" s="2">
        <f>VLOOKUP(B17,Início!G:R,11,FALSE)</f>
        <v>0</v>
      </c>
    </row>
    <row r="18" spans="1:6" ht="15" customHeight="1" thickBot="1" x14ac:dyDescent="0.4">
      <c r="A18" s="112" t="str">
        <f>Início!C26</f>
        <v>JUVESA VEICULOS LTDA</v>
      </c>
      <c r="B18" s="113" t="str">
        <f>Início!G26</f>
        <v>30853-7</v>
      </c>
      <c r="C18" s="113" t="str">
        <f>Início!H26</f>
        <v>58191-7</v>
      </c>
      <c r="D18" s="117" t="s">
        <v>225</v>
      </c>
      <c r="E18" s="2" t="s">
        <v>226</v>
      </c>
      <c r="F18" s="2">
        <f>VLOOKUP(B18,Início!G:R,11,FALSE)</f>
        <v>0</v>
      </c>
    </row>
    <row r="19" spans="1:6" ht="15" customHeight="1" thickBot="1" x14ac:dyDescent="0.4">
      <c r="A19" s="112" t="str">
        <f>Início!C28</f>
        <v>ARTESANATO CENTENARIO LTDA</v>
      </c>
      <c r="B19" s="113" t="str">
        <f>Início!G28</f>
        <v>34678-5</v>
      </c>
      <c r="C19" s="113" t="str">
        <f>Início!H28</f>
        <v>94137-9</v>
      </c>
      <c r="D19" s="117" t="s">
        <v>225</v>
      </c>
      <c r="E19" s="2" t="s">
        <v>226</v>
      </c>
      <c r="F19" s="2">
        <f>VLOOKUP(B19,Início!G:R,11,FALSE)</f>
        <v>0</v>
      </c>
    </row>
    <row r="20" spans="1:6" ht="15" customHeight="1" thickBot="1" x14ac:dyDescent="0.4">
      <c r="A20" s="112" t="str">
        <f>Início!C29</f>
        <v>TIAGO ROST NET</v>
      </c>
      <c r="B20" s="113" t="str">
        <f>Início!G29</f>
        <v>43088-5</v>
      </c>
      <c r="C20" s="113" t="str">
        <f>Início!H29</f>
        <v>90890-8</v>
      </c>
      <c r="D20" s="117" t="s">
        <v>225</v>
      </c>
      <c r="E20" s="2" t="s">
        <v>226</v>
      </c>
      <c r="F20" s="2">
        <f>VLOOKUP(B20,Início!G:R,11,FALSE)</f>
        <v>0</v>
      </c>
    </row>
    <row r="21" spans="1:6" ht="15" customHeight="1" thickBot="1" x14ac:dyDescent="0.4">
      <c r="A21" s="112" t="str">
        <f>Início!C30</f>
        <v>AGUIA CONTABILIDADE EIRELI</v>
      </c>
      <c r="B21" s="113" t="str">
        <f>Início!G30</f>
        <v>66850-1</v>
      </c>
      <c r="C21" s="113" t="str">
        <f>Início!H30</f>
        <v>68577-1</v>
      </c>
      <c r="D21" s="117" t="s">
        <v>225</v>
      </c>
      <c r="E21" s="17" t="s">
        <v>226</v>
      </c>
      <c r="F21" s="2">
        <f>VLOOKUP(B21,Início!G:R,11,FALSE)</f>
        <v>0</v>
      </c>
    </row>
    <row r="22" spans="1:6" ht="15" customHeight="1" thickBot="1" x14ac:dyDescent="0.4">
      <c r="A22" s="112" t="str">
        <f>Início!C31</f>
        <v xml:space="preserve">JOVIAL ABRASIVOS FABRICACAO DE ESCOVAS LTDA </v>
      </c>
      <c r="B22" s="113" t="str">
        <f>Início!G31</f>
        <v>68706-4</v>
      </c>
      <c r="C22" s="113" t="str">
        <f>Início!H31</f>
        <v>52519-9</v>
      </c>
      <c r="D22" s="117" t="s">
        <v>225</v>
      </c>
      <c r="E22" s="17" t="s">
        <v>226</v>
      </c>
      <c r="F22" s="2">
        <f>VLOOKUP(B22,Início!G:R,11,FALSE)</f>
        <v>0</v>
      </c>
    </row>
    <row r="23" spans="1:6" ht="15" customHeight="1" thickBot="1" x14ac:dyDescent="0.4">
      <c r="A23" s="112" t="str">
        <f>Início!C32</f>
        <v>EMPRESA DE SEGURANCA PINHAL LTDA</v>
      </c>
      <c r="B23" s="113" t="str">
        <f>Início!G32</f>
        <v>69047-1</v>
      </c>
      <c r="C23" s="113" t="str">
        <f>Início!H32</f>
        <v>04185-6</v>
      </c>
      <c r="D23" s="117" t="s">
        <v>225</v>
      </c>
      <c r="E23" s="2" t="s">
        <v>226</v>
      </c>
      <c r="F23" s="2">
        <f>VLOOKUP(B23,Início!G:R,11,FALSE)</f>
        <v>0</v>
      </c>
    </row>
    <row r="24" spans="1:6" ht="15" customHeight="1" thickBot="1" x14ac:dyDescent="0.4">
      <c r="A24" s="112" t="str">
        <f>Início!C33</f>
        <v>LUGON IMOVEIS LTDA</v>
      </c>
      <c r="B24" s="113" t="str">
        <f>Início!G33</f>
        <v>77900-1</v>
      </c>
      <c r="C24" s="113" t="str">
        <f>Início!H33</f>
        <v>00273-3</v>
      </c>
      <c r="D24" s="117" t="s">
        <v>225</v>
      </c>
      <c r="E24" s="2" t="s">
        <v>226</v>
      </c>
      <c r="F24" s="2">
        <f>VLOOKUP(B24,Início!G:R,11,FALSE)</f>
        <v>0</v>
      </c>
    </row>
    <row r="25" spans="1:6" ht="15" customHeight="1" thickBot="1" x14ac:dyDescent="0.4">
      <c r="A25" s="112" t="str">
        <f>Início!C34</f>
        <v>STIER BIER INDUSTRIA E COMERCIO DE BEBIDAS LTDA</v>
      </c>
      <c r="B25" s="113" t="str">
        <f>Início!G34</f>
        <v>89202-7</v>
      </c>
      <c r="C25" s="113" t="str">
        <f>Início!H34</f>
        <v>22915-5</v>
      </c>
      <c r="D25" s="117" t="s">
        <v>225</v>
      </c>
      <c r="E25" s="2" t="s">
        <v>226</v>
      </c>
      <c r="F25" s="2">
        <f>VLOOKUP(B25,Início!G:R,11,FALSE)</f>
        <v>0</v>
      </c>
    </row>
    <row r="26" spans="1:6" ht="15" customHeight="1" thickBot="1" x14ac:dyDescent="0.4">
      <c r="A26" s="112" t="str">
        <f>Início!C35</f>
        <v>RUMO CERTO AGROCOMERCIAL LTDA</v>
      </c>
      <c r="B26" s="113" t="str">
        <f>Início!G35</f>
        <v>94699-9</v>
      </c>
      <c r="C26" s="113" t="str">
        <f>Início!H35</f>
        <v>86383-1</v>
      </c>
      <c r="D26" s="117" t="s">
        <v>225</v>
      </c>
      <c r="E26" s="2" t="s">
        <v>226</v>
      </c>
      <c r="F26" s="2">
        <f>VLOOKUP(B26,Início!G:R,11,FALSE)</f>
        <v>0</v>
      </c>
    </row>
    <row r="27" spans="1:6" ht="15" customHeight="1" thickBot="1" x14ac:dyDescent="0.4">
      <c r="A27" s="112" t="str">
        <f>Início!C36</f>
        <v>RUTSATZ COMERCIO E REDE DE ENSINO LTDA</v>
      </c>
      <c r="B27" s="113" t="str">
        <f>Início!G36</f>
        <v>81562-3</v>
      </c>
      <c r="C27" s="113" t="str">
        <f>Início!H36</f>
        <v>78439-7</v>
      </c>
      <c r="D27" s="117" t="s">
        <v>225</v>
      </c>
      <c r="E27" t="s">
        <v>226</v>
      </c>
      <c r="F27" s="2">
        <f>VLOOKUP(B27,Início!G:R,11,FALSE)</f>
        <v>0</v>
      </c>
    </row>
    <row r="28" spans="1:6" ht="15" customHeight="1" thickBot="1" x14ac:dyDescent="0.4">
      <c r="A28" s="112" t="str">
        <f>Início!C37</f>
        <v>CONDOMINIO RESIDENCIAL BELLVILLE</v>
      </c>
      <c r="B28" s="113" t="str">
        <f>Início!G37</f>
        <v>85221-1</v>
      </c>
      <c r="C28" s="113" t="str">
        <f>Início!H37</f>
        <v>84874-9</v>
      </c>
      <c r="D28" s="1" t="s">
        <v>225</v>
      </c>
      <c r="E28" s="17" t="s">
        <v>226</v>
      </c>
      <c r="F28" s="2">
        <f ca="1">VLOOKUP(B28,Início!G:R,11,FALSE)</f>
        <v>0</v>
      </c>
    </row>
    <row r="29" spans="1:6" ht="15" customHeight="1" thickBot="1" x14ac:dyDescent="0.4">
      <c r="A29" s="112" t="str">
        <f>Início!C38</f>
        <v>CONDOMINIO HORIZONTAL MARITIMO</v>
      </c>
      <c r="B29" s="34" t="str">
        <f>Início!G38</f>
        <v>88265-6</v>
      </c>
      <c r="C29" s="113" t="str">
        <f>Início!H38</f>
        <v>80868-6</v>
      </c>
      <c r="D29" s="117" t="s">
        <v>225</v>
      </c>
      <c r="E29" s="17" t="s">
        <v>226</v>
      </c>
      <c r="F29" s="2">
        <f ca="1">VLOOKUP(B29,Início!G:R,11,FALSE)</f>
        <v>0</v>
      </c>
    </row>
    <row r="30" spans="1:6" ht="15" thickBot="1" x14ac:dyDescent="0.4">
      <c r="A30" s="112" t="str">
        <f>Início!C39</f>
        <v>RESIDENCIAL ANA JULIA</v>
      </c>
      <c r="B30" s="34" t="str">
        <f>Início!G39</f>
        <v>89191-2</v>
      </c>
      <c r="C30" s="113" t="str">
        <f>Início!H39</f>
        <v>89181-3</v>
      </c>
      <c r="D30" s="117" t="s">
        <v>225</v>
      </c>
      <c r="E30" s="17" t="s">
        <v>226</v>
      </c>
      <c r="F30" s="2">
        <f>VLOOKUP(B30,Início!G:R,11,FALSE)</f>
        <v>0</v>
      </c>
    </row>
    <row r="31" spans="1:6" ht="15" thickBot="1" x14ac:dyDescent="0.4">
      <c r="A31" s="112" t="str">
        <f>Início!C40</f>
        <v>EVEN TELECOM LTDA</v>
      </c>
      <c r="B31" s="34" t="str">
        <f>Início!G40</f>
        <v>98194-5</v>
      </c>
      <c r="C31" s="113" t="str">
        <f>Início!H40</f>
        <v>83158-1</v>
      </c>
      <c r="D31" s="117" t="s">
        <v>225</v>
      </c>
      <c r="E31" s="17" t="s">
        <v>226</v>
      </c>
      <c r="F31" s="2">
        <f>VLOOKUP(B31,Início!G:R,11,FALSE)</f>
        <v>0</v>
      </c>
    </row>
    <row r="32" spans="1:6" ht="15" thickBot="1" x14ac:dyDescent="0.4">
      <c r="A32" s="112" t="str">
        <f>Início!C41</f>
        <v>SANVITRON CONTROLE E AUTOMACAO EIRELI</v>
      </c>
      <c r="B32" s="34" t="str">
        <f>Início!G41</f>
        <v>00061-7</v>
      </c>
      <c r="C32" s="113" t="str">
        <f>Início!H41</f>
        <v>70317-6</v>
      </c>
      <c r="D32" s="117" t="s">
        <v>225</v>
      </c>
      <c r="E32" s="2" t="s">
        <v>226</v>
      </c>
      <c r="F32" s="2">
        <f>VLOOKUP(B32,Início!G:R,11,FALSE)</f>
        <v>0</v>
      </c>
    </row>
    <row r="33" spans="1:6" x14ac:dyDescent="0.35">
      <c r="A33" s="112" t="str">
        <f>Início!C42</f>
        <v>RCI TELECOMUNICACOES LTD</v>
      </c>
      <c r="B33" s="34" t="str">
        <f>Início!G42</f>
        <v>00149-2</v>
      </c>
      <c r="C33" s="113" t="str">
        <f>Início!H42</f>
        <v>84902-2</v>
      </c>
      <c r="D33" s="117" t="s">
        <v>225</v>
      </c>
      <c r="E33" s="2" t="s">
        <v>226</v>
      </c>
      <c r="F33" s="2">
        <f>VLOOKUP(B33,Início!G:R,11,FALSE)</f>
        <v>0</v>
      </c>
    </row>
  </sheetData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33"/>
  <sheetViews>
    <sheetView topLeftCell="A28" workbookViewId="0">
      <selection activeCell="B38" sqref="B38"/>
    </sheetView>
  </sheetViews>
  <sheetFormatPr defaultRowHeight="14.5" x14ac:dyDescent="0.35"/>
  <cols>
    <col min="1" max="1" width="46.08984375" style="2" bestFit="1" customWidth="1"/>
    <col min="2" max="2" width="134.81640625" style="2" bestFit="1" customWidth="1"/>
  </cols>
  <sheetData>
    <row r="1" spans="1:5" x14ac:dyDescent="0.35">
      <c r="A1" s="2" t="str">
        <f>Início!C1</f>
        <v>Associado</v>
      </c>
    </row>
    <row r="2" spans="1:5" x14ac:dyDescent="0.35">
      <c r="A2" s="2" t="str">
        <f>Início!C2</f>
        <v>FRANCK F MULLER SUPERMERCADO EIRELI</v>
      </c>
      <c r="B2" s="139" t="s">
        <v>190</v>
      </c>
    </row>
    <row r="3" spans="1:5" x14ac:dyDescent="0.35">
      <c r="A3" s="2" t="str">
        <f>Início!C3</f>
        <v>TROPICAL PEIXARIA E PRODUTOS NATURAIS EIRELI</v>
      </c>
      <c r="B3" s="139" t="s">
        <v>210</v>
      </c>
      <c r="E3" s="2"/>
    </row>
    <row r="4" spans="1:5" x14ac:dyDescent="0.35">
      <c r="A4" s="2" t="str">
        <f>Início!C4</f>
        <v>RAVENA DISTRIBUIDORA DE AUTO PECAS LTDA</v>
      </c>
      <c r="B4" s="139" t="s">
        <v>191</v>
      </c>
      <c r="E4" s="2"/>
    </row>
    <row r="5" spans="1:5" x14ac:dyDescent="0.35">
      <c r="A5" s="2" t="str">
        <f>Início!C6</f>
        <v>R M DOS SANTOS INFORMATICA EIRELI</v>
      </c>
      <c r="B5" s="139" t="s">
        <v>192</v>
      </c>
      <c r="E5" s="2"/>
    </row>
    <row r="6" spans="1:5" x14ac:dyDescent="0.35">
      <c r="A6" s="2" t="str">
        <f>Início!C8</f>
        <v>ELIANDRO DISTRIBUIDORA DE ALIMENTOS EIRELI</v>
      </c>
      <c r="B6" s="139" t="s">
        <v>191</v>
      </c>
      <c r="E6" s="2"/>
    </row>
    <row r="7" spans="1:5" x14ac:dyDescent="0.35">
      <c r="A7" s="2" t="str">
        <f>Início!C9</f>
        <v>SPM COUROS LTDA</v>
      </c>
      <c r="B7" s="139" t="s">
        <v>190</v>
      </c>
      <c r="E7" s="2"/>
    </row>
    <row r="8" spans="1:5" x14ac:dyDescent="0.35">
      <c r="A8" s="2" t="str">
        <f>Início!C10</f>
        <v>DIELAT INDUSTRIA E COMERCIO DE LATICINIOS LTDA</v>
      </c>
      <c r="B8" s="139" t="s">
        <v>191</v>
      </c>
      <c r="E8" s="2"/>
    </row>
    <row r="9" spans="1:5" x14ac:dyDescent="0.35">
      <c r="A9" s="2" t="str">
        <f>Início!C11</f>
        <v>ROXO E SOUZA COMERCIO ATACADISTA LTDA</v>
      </c>
      <c r="B9" s="139" t="s">
        <v>193</v>
      </c>
      <c r="E9" s="2"/>
    </row>
    <row r="10" spans="1:5" x14ac:dyDescent="0.35">
      <c r="A10" s="2" t="str">
        <f>Início!C13</f>
        <v>GIGA NET INFORMATICA LTDA</v>
      </c>
      <c r="B10" s="139" t="s">
        <v>194</v>
      </c>
      <c r="E10" s="2"/>
    </row>
    <row r="11" spans="1:5" x14ac:dyDescent="0.35">
      <c r="A11" s="2" t="str">
        <f>Início!C16</f>
        <v>ASSOCIACAO DOS AMIGOS DA PRAIA DE TORRES</v>
      </c>
      <c r="B11" s="139" t="s">
        <v>195</v>
      </c>
      <c r="E11" s="2"/>
    </row>
    <row r="12" spans="1:5" x14ac:dyDescent="0.35">
      <c r="A12" s="2" t="str">
        <f>Início!C17</f>
        <v>NETPAL TELECOM LTDA</v>
      </c>
      <c r="B12" s="139" t="s">
        <v>196</v>
      </c>
      <c r="E12" s="2"/>
    </row>
    <row r="13" spans="1:5" x14ac:dyDescent="0.35">
      <c r="A13" s="2" t="str">
        <f>Início!C20</f>
        <v>ELEOMAR ALCIONE RAMOS CONSTRUCOES</v>
      </c>
      <c r="B13" s="139" t="s">
        <v>197</v>
      </c>
      <c r="E13" s="2"/>
    </row>
    <row r="14" spans="1:5" x14ac:dyDescent="0.35">
      <c r="A14" s="2" t="str">
        <f>Início!C21</f>
        <v>CONDOMINIO RESERVA DAS AGUAS</v>
      </c>
      <c r="B14" s="139" t="s">
        <v>195</v>
      </c>
      <c r="E14" s="2"/>
    </row>
    <row r="15" spans="1:5" x14ac:dyDescent="0.35">
      <c r="A15" s="2" t="str">
        <f>Início!C22</f>
        <v>LIZANDRA DA SILVA</v>
      </c>
      <c r="B15" s="139" t="s">
        <v>191</v>
      </c>
      <c r="E15" s="2"/>
    </row>
    <row r="16" spans="1:5" x14ac:dyDescent="0.35">
      <c r="A16" s="2" t="str">
        <f>Início!C24</f>
        <v>SEVERO E PRADO LTDA</v>
      </c>
      <c r="B16" s="139" t="s">
        <v>198</v>
      </c>
      <c r="E16" s="2"/>
    </row>
    <row r="17" spans="1:5" x14ac:dyDescent="0.35">
      <c r="A17" s="2" t="str">
        <f>Início!C25</f>
        <v>POWERSERV SOLUCOES INTERNET LTDA</v>
      </c>
      <c r="B17" s="139" t="s">
        <v>199</v>
      </c>
      <c r="E17" s="2"/>
    </row>
    <row r="18" spans="1:5" x14ac:dyDescent="0.35">
      <c r="A18" s="2" t="str">
        <f>Início!C26</f>
        <v>JUVESA VEICULOS LTDA</v>
      </c>
      <c r="B18" s="139" t="s">
        <v>200</v>
      </c>
    </row>
    <row r="19" spans="1:5" x14ac:dyDescent="0.35">
      <c r="A19" s="2" t="str">
        <f>Início!C28</f>
        <v>ARTESANATO CENTENARIO LTDA</v>
      </c>
      <c r="B19" s="139" t="s">
        <v>195</v>
      </c>
      <c r="E19" s="2"/>
    </row>
    <row r="20" spans="1:5" x14ac:dyDescent="0.35">
      <c r="A20" s="2" t="str">
        <f>Início!C29</f>
        <v>TIAGO ROST NET</v>
      </c>
      <c r="B20" s="139" t="s">
        <v>201</v>
      </c>
    </row>
    <row r="21" spans="1:5" x14ac:dyDescent="0.35">
      <c r="A21" s="2" t="str">
        <f>Início!C30</f>
        <v>AGUIA CONTABILIDADE EIRELI</v>
      </c>
      <c r="B21" s="139" t="s">
        <v>195</v>
      </c>
    </row>
    <row r="22" spans="1:5" x14ac:dyDescent="0.35">
      <c r="A22" s="2" t="str">
        <f>Início!C31</f>
        <v xml:space="preserve">JOVIAL ABRASIVOS FABRICACAO DE ESCOVAS LTDA </v>
      </c>
      <c r="B22" s="139" t="s">
        <v>202</v>
      </c>
    </row>
    <row r="23" spans="1:5" x14ac:dyDescent="0.35">
      <c r="A23" s="2" t="str">
        <f>Início!C32</f>
        <v>EMPRESA DE SEGURANCA PINHAL LTDA</v>
      </c>
      <c r="B23" s="139" t="s">
        <v>203</v>
      </c>
    </row>
    <row r="24" spans="1:5" x14ac:dyDescent="0.35">
      <c r="A24" s="2" t="str">
        <f>Início!C33</f>
        <v>LUGON IMOVEIS LTDA</v>
      </c>
      <c r="B24" s="139" t="s">
        <v>211</v>
      </c>
    </row>
    <row r="25" spans="1:5" x14ac:dyDescent="0.35">
      <c r="A25" s="2" t="str">
        <f>Início!C34</f>
        <v>STIER BIER INDUSTRIA E COMERCIO DE BEBIDAS LTDA</v>
      </c>
      <c r="B25" s="139" t="s">
        <v>204</v>
      </c>
    </row>
    <row r="26" spans="1:5" x14ac:dyDescent="0.35">
      <c r="A26" s="2" t="str">
        <f>Início!C35</f>
        <v>RUMO CERTO AGROCOMERCIAL LTDA</v>
      </c>
      <c r="B26" s="139" t="s">
        <v>205</v>
      </c>
    </row>
    <row r="27" spans="1:5" x14ac:dyDescent="0.35">
      <c r="A27" s="2" t="str">
        <f>Início!C36</f>
        <v>RUTSATZ COMERCIO E REDE DE ENSINO LTDA</v>
      </c>
      <c r="B27" s="139" t="s">
        <v>206</v>
      </c>
    </row>
    <row r="28" spans="1:5" x14ac:dyDescent="0.35">
      <c r="A28" s="2" t="str">
        <f>Início!C37</f>
        <v>CONDOMINIO RESIDENCIAL BELLVILLE</v>
      </c>
      <c r="B28" s="139" t="s">
        <v>207</v>
      </c>
    </row>
    <row r="29" spans="1:5" x14ac:dyDescent="0.35">
      <c r="A29" s="2" t="str">
        <f>Início!C38</f>
        <v>CONDOMINIO HORIZONTAL MARITIMO</v>
      </c>
      <c r="B29" s="139" t="s">
        <v>207</v>
      </c>
    </row>
    <row r="30" spans="1:5" x14ac:dyDescent="0.35">
      <c r="A30" s="2" t="str">
        <f>Início!C39</f>
        <v>RESIDENCIAL ANA JULIA</v>
      </c>
      <c r="B30" s="139" t="s">
        <v>208</v>
      </c>
    </row>
    <row r="31" spans="1:5" x14ac:dyDescent="0.35">
      <c r="A31" s="2" t="str">
        <f>Início!C40</f>
        <v>EVEN TELECOM LTDA</v>
      </c>
      <c r="B31" s="139" t="s">
        <v>209</v>
      </c>
    </row>
    <row r="32" spans="1:5" x14ac:dyDescent="0.35">
      <c r="A32" s="2" t="str">
        <f>Início!C41</f>
        <v>SANVITRON CONTROLE E AUTOMACAO EIRELI</v>
      </c>
      <c r="B32" s="139" t="s">
        <v>218</v>
      </c>
    </row>
    <row r="33" spans="1:2" x14ac:dyDescent="0.35">
      <c r="A33" s="2" t="str">
        <f>Início!C42</f>
        <v>RCI TELECOMUNICACOES LTD</v>
      </c>
      <c r="B33" s="139" t="s">
        <v>218</v>
      </c>
    </row>
  </sheetData>
  <pageMargins left="0.75" right="0.75" top="0.75" bottom="0.5" header="0.5" footer="0.75"/>
  <pageSetup orientation="portrait" r:id="rId1"/>
  <headerFooter>
    <oddFooter>&amp;C&amp;1#&amp;"Calibri"&amp;10&amp;K000000Classificação da informação: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621B-D502-4181-AA91-89F0B783D53A}">
  <sheetPr codeName="Planilha7"/>
  <dimension ref="A1:Q1"/>
  <sheetViews>
    <sheetView workbookViewId="0">
      <selection activeCell="J7" sqref="J7"/>
    </sheetView>
  </sheetViews>
  <sheetFormatPr defaultRowHeight="14.5" x14ac:dyDescent="0.35"/>
  <cols>
    <col min="1" max="1" width="9.1796875" style="2" bestFit="1" customWidth="1"/>
    <col min="2" max="2" width="5.6328125" style="2" bestFit="1" customWidth="1"/>
    <col min="3" max="3" width="2.90625" style="2" bestFit="1" customWidth="1"/>
    <col min="4" max="4" width="7.81640625" style="2" bestFit="1" customWidth="1"/>
    <col min="5" max="5" width="14.54296875" style="2" bestFit="1" customWidth="1"/>
    <col min="6" max="6" width="13.81640625" style="2" bestFit="1" customWidth="1"/>
    <col min="7" max="7" width="8.6328125" style="2" bestFit="1" customWidth="1"/>
    <col min="8" max="8" width="8.90625" style="2" bestFit="1" customWidth="1"/>
    <col min="9" max="9" width="13.90625" style="2" bestFit="1" customWidth="1"/>
    <col min="10" max="10" width="8.90625" style="2" bestFit="1" customWidth="1"/>
    <col min="11" max="11" width="24.90625" style="2" bestFit="1" customWidth="1"/>
    <col min="12" max="12" width="19.36328125" style="2" bestFit="1" customWidth="1"/>
    <col min="13" max="13" width="21.08984375" style="2" bestFit="1" customWidth="1"/>
    <col min="14" max="14" width="15.26953125" style="2" bestFit="1" customWidth="1"/>
    <col min="15" max="15" width="20" style="2" bestFit="1" customWidth="1"/>
    <col min="16" max="17" width="27.90625" style="2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Título</vt:lpstr>
      <vt:lpstr>Carteira</vt:lpstr>
      <vt:lpstr>Liquidação</vt:lpstr>
      <vt:lpstr>Transferencia</vt:lpstr>
      <vt:lpstr>Emails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2022-10-24T12:54:06Z</dcterms:created>
  <dcterms:modified xsi:type="dcterms:W3CDTF">2023-01-02T12:35:45Z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2023-01-02T12:35:45Z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3c0560c7-a3a3-471e-b1a8-eaa66175aa43</vt:lpwstr>
  </property>
  <property fmtid="{D5CDD505-2E9C-101B-9397-08002B2CF9AE}" pid="8" name="MSIP_Label_99deea41-824f-4c3c-afd5-7afdfc16eee8_ContentBits">
    <vt:lpwstr>2</vt:lpwstr>
  </property>
</Properties>
</file>